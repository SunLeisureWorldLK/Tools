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UDDIKA\Downloads\"/>
    </mc:Choice>
  </mc:AlternateContent>
  <bookViews>
    <workbookView xWindow="0" yWindow="0" windowWidth="19200" windowHeight="11610"/>
  </bookViews>
  <sheets>
    <sheet name="1N Pattaya 3 Bangkok - " sheetId="1" r:id="rId1"/>
    <sheet name="2N Phuket 3N Bangkok " sheetId="4" r:id="rId2"/>
  </sheets>
  <definedNames>
    <definedName name="_xlnm._FilterDatabase" localSheetId="0" hidden="1">'1N Pattaya 3 Bangkok - '!$A$1</definedName>
  </definedNames>
  <calcPr calcId="162913"/>
</workbook>
</file>

<file path=xl/calcChain.xml><?xml version="1.0" encoding="utf-8"?>
<calcChain xmlns="http://schemas.openxmlformats.org/spreadsheetml/2006/main">
  <c r="F34" i="1" l="1"/>
  <c r="E30" i="1"/>
  <c r="E29" i="1"/>
  <c r="G34" i="4"/>
  <c r="F34" i="4"/>
  <c r="J33" i="4"/>
  <c r="J34" i="4" s="1"/>
  <c r="I33" i="4"/>
  <c r="I34" i="4" s="1"/>
  <c r="H33" i="4"/>
  <c r="H34" i="4" s="1"/>
  <c r="G33" i="4"/>
  <c r="D30" i="1"/>
  <c r="F29" i="1"/>
  <c r="F30" i="1" s="1"/>
  <c r="F32" i="1" l="1"/>
  <c r="J36" i="4"/>
  <c r="J38" i="4" s="1"/>
  <c r="H36" i="4"/>
  <c r="H38" i="4" s="1"/>
  <c r="I36" i="4"/>
  <c r="I38" i="4" s="1"/>
  <c r="I39" i="4" l="1"/>
  <c r="I41" i="4"/>
  <c r="I43" i="4" s="1"/>
  <c r="I46" i="4" s="1"/>
  <c r="I47" i="4" s="1"/>
  <c r="I48" i="4" s="1"/>
  <c r="H39" i="4"/>
  <c r="H41" i="4"/>
  <c r="H43" i="4" s="1"/>
  <c r="H46" i="4" s="1"/>
  <c r="H47" i="4" s="1"/>
  <c r="H48" i="4" s="1"/>
  <c r="J41" i="4"/>
  <c r="J43" i="4" s="1"/>
  <c r="J46" i="4" s="1"/>
  <c r="J47" i="4" s="1"/>
  <c r="J48" i="4" s="1"/>
  <c r="J39" i="4"/>
  <c r="F37" i="1"/>
  <c r="F39" i="1" s="1"/>
  <c r="F42" i="1" s="1"/>
  <c r="F43" i="1" s="1"/>
  <c r="F44" i="1" s="1"/>
  <c r="F35" i="1"/>
</calcChain>
</file>

<file path=xl/sharedStrings.xml><?xml version="1.0" encoding="utf-8"?>
<sst xmlns="http://schemas.openxmlformats.org/spreadsheetml/2006/main" count="167" uniqueCount="76">
  <si>
    <t xml:space="preserve">02N Phuket 03N Bangkok </t>
  </si>
  <si>
    <t>02Pax-Sep-2026</t>
  </si>
  <si>
    <t>INQ -66095</t>
  </si>
  <si>
    <t>Day-01-</t>
  </si>
  <si>
    <t xml:space="preserve">Meal </t>
  </si>
  <si>
    <t xml:space="preserve">   Tour </t>
  </si>
  <si>
    <t xml:space="preserve"> Transfer </t>
  </si>
  <si>
    <t xml:space="preserve">    3* Hotel </t>
  </si>
  <si>
    <t xml:space="preserve">   4* Hotel </t>
  </si>
  <si>
    <t>(--/--/--)</t>
  </si>
  <si>
    <t>.</t>
  </si>
  <si>
    <t xml:space="preserve"> 01N Pattaya 03N Bangkok </t>
  </si>
  <si>
    <r>
      <rPr>
        <b/>
        <sz val="11"/>
        <color theme="1"/>
        <rFont val="Calibri"/>
      </rPr>
      <t>02.00pm</t>
    </r>
    <r>
      <rPr>
        <sz val="11"/>
        <color theme="1"/>
        <rFont val="Calibri"/>
      </rPr>
      <t xml:space="preserve"> Check in at  Phuket Hotel </t>
    </r>
  </si>
  <si>
    <t>Day-01-08/09/2026</t>
  </si>
  <si>
    <t>Overnight at Hotel </t>
  </si>
  <si>
    <t>Day-02-</t>
  </si>
  <si>
    <t>Private Arrival at Bangkok  Airport and Transfer to Pattaya  Hotel (Car)</t>
  </si>
  <si>
    <t>(--/L/--)</t>
  </si>
  <si>
    <t>Breakfast at Hotel </t>
  </si>
  <si>
    <t>(B/L/--)</t>
  </si>
  <si>
    <t>Phi Phi Island, Maya Bay &amp; Khai Island Speedboat Full Day Tour National Park with Lunch (Join Transfer)</t>
  </si>
  <si>
    <t>Coral Island tour with Lunch (Join Transfer)</t>
  </si>
  <si>
    <r>
      <rPr>
        <sz val="9"/>
        <color theme="1"/>
        <rFont val="Arial"/>
      </rPr>
      <t>14.00Check in at</t>
    </r>
    <r>
      <rPr>
        <b/>
        <sz val="9"/>
        <color theme="1"/>
        <rFont val="Arial"/>
      </rPr>
      <t xml:space="preserve"> </t>
    </r>
    <r>
      <rPr>
        <b/>
        <sz val="10"/>
        <color theme="4"/>
        <rFont val="Arial"/>
      </rPr>
      <t>Sunbeam Hotel 4*  Pattaya</t>
    </r>
  </si>
  <si>
    <t>Day-03-</t>
  </si>
  <si>
    <t>(B/--/D)</t>
  </si>
  <si>
    <t>Day-02-09/09/2026</t>
  </si>
  <si>
    <r>
      <rPr>
        <b/>
        <sz val="11"/>
        <color theme="1"/>
        <rFont val="Calibri"/>
      </rPr>
      <t xml:space="preserve">Morning </t>
    </r>
    <r>
      <rPr>
        <sz val="11"/>
        <color theme="1"/>
        <rFont val="Calibri"/>
      </rPr>
      <t xml:space="preserve"> Check out from Hotel </t>
    </r>
  </si>
  <si>
    <t>14.00 Check in  Bangkok Hotel</t>
  </si>
  <si>
    <t xml:space="preserve">12.00 Check out from Hotel </t>
  </si>
  <si>
    <t>Chao Phraya Dinner Cruise (Join Transfer)</t>
  </si>
  <si>
    <t>private Transfer Pattaya  Hotel to Bangkok  Hotel  (Car)</t>
  </si>
  <si>
    <r>
      <rPr>
        <sz val="9"/>
        <color theme="1"/>
        <rFont val="Arial"/>
      </rPr>
      <t xml:space="preserve">14.00 Check in at </t>
    </r>
    <r>
      <rPr>
        <b/>
        <sz val="10"/>
        <color theme="4"/>
        <rFont val="Arial"/>
      </rPr>
      <t>Century Park 4* Bangkok</t>
    </r>
  </si>
  <si>
    <t>Day-04-</t>
  </si>
  <si>
    <t>Chao Phraya Cruise Dinner  (Join Transfer)-INTER FOOD</t>
  </si>
  <si>
    <t>Dream World &amp; Snow Town with Lunch - Super Visa (Join Transfer)</t>
  </si>
  <si>
    <t>Day-03-10/09/2026</t>
  </si>
  <si>
    <t>Day-05-</t>
  </si>
  <si>
    <t>(B/--/--)</t>
  </si>
  <si>
    <t>Dream World &amp; Snow Town with Lunch - Super Visa  (Join Transfer)</t>
  </si>
  <si>
    <t>Free For Leisure</t>
  </si>
  <si>
    <t>Day-06-</t>
  </si>
  <si>
    <t>Day-04-11/09/2026</t>
  </si>
  <si>
    <r>
      <rPr>
        <sz val="10"/>
        <color theme="1"/>
        <rFont val="Arial"/>
      </rPr>
      <t xml:space="preserve">If you’re planning to go shopping on this day, please ensure you check out of the hotel in the </t>
    </r>
    <r>
      <rPr>
        <sz val="10"/>
        <color rgb="FFFF0000"/>
        <rFont val="Arial"/>
      </rPr>
      <t>morning or by 12:00 PM</t>
    </r>
    <r>
      <rPr>
        <sz val="10"/>
        <color theme="1"/>
        <rFont val="Arial"/>
      </rPr>
      <t xml:space="preserve">.
You may safely store your luggage at the hotel reception. </t>
    </r>
    <r>
      <rPr>
        <sz val="10"/>
        <color rgb="FFFF0000"/>
        <rFont val="Arial"/>
      </rPr>
      <t>Your airport transfer is scheduled for 4:00 PM</t>
    </r>
    <r>
      <rPr>
        <sz val="10"/>
        <color theme="1"/>
        <rFont val="Arial"/>
      </rPr>
      <t>, so kindly be in the hotel lobby on time for pickup.</t>
    </r>
  </si>
  <si>
    <t xml:space="preserve">Free For Leisure </t>
  </si>
  <si>
    <r>
      <rPr>
        <b/>
        <sz val="11"/>
        <color theme="1"/>
        <rFont val="Calibri"/>
      </rPr>
      <t>12.00pm</t>
    </r>
    <r>
      <rPr>
        <sz val="11"/>
        <color theme="1"/>
        <rFont val="Calibri"/>
      </rPr>
      <t xml:space="preserve"> Check out from Hotel </t>
    </r>
  </si>
  <si>
    <t>Day-05-12/09/2026</t>
  </si>
  <si>
    <t>Tour End!</t>
  </si>
  <si>
    <t>Private Transfer Bangkok Hotel to Bangkok Airport for Departure (Car)</t>
  </si>
  <si>
    <t>3*</t>
  </si>
  <si>
    <t xml:space="preserve">Inclusion </t>
  </si>
  <si>
    <t xml:space="preserve"> </t>
  </si>
  <si>
    <t>Inclusion-</t>
  </si>
  <si>
    <t xml:space="preserve">2N Phuket 3N Bangkok  4*/3* Hotel Accomodation with Breakfast </t>
  </si>
  <si>
    <t xml:space="preserve">Airport - Hotel - Airport Transfer Pvt Basis </t>
  </si>
  <si>
    <t xml:space="preserve">1N Pattaya 3N Bangkok  4*/3* Hotel Accommdation with Breakfast </t>
  </si>
  <si>
    <t>Tour by air-conditioned vehicles</t>
  </si>
  <si>
    <t>Different</t>
  </si>
  <si>
    <t xml:space="preserve">Private Transfer from Airport - Hotel - Airport </t>
  </si>
  <si>
    <t>All admisson fees &amp; Transfers as mentioned in the above program</t>
  </si>
  <si>
    <t>THB</t>
  </si>
  <si>
    <t>LKR</t>
  </si>
  <si>
    <t>Meals (05 Breakfast / 02 Lunch / 01 Dinner)</t>
  </si>
  <si>
    <t>Total</t>
  </si>
  <si>
    <t>Chao Phraya Cruise Dinner (Join  Transfer)</t>
  </si>
  <si>
    <t xml:space="preserve">Exclusion </t>
  </si>
  <si>
    <t>Air fare</t>
  </si>
  <si>
    <t>Everything which is not mentioned in the program</t>
  </si>
  <si>
    <t>Meals (04 Breakfast / 02 Lunch / 01 Dinner)</t>
  </si>
  <si>
    <t>Thailand Visa</t>
  </si>
  <si>
    <t>MS.PRASADEE G</t>
  </si>
  <si>
    <t>KIRIWATHTHUDUWAGE DONA</t>
  </si>
  <si>
    <t>F</t>
  </si>
  <si>
    <t>Arrival at Phuket Airport and Transfer to Phuket  Hotel Pvt Basis (Car)</t>
  </si>
  <si>
    <t>PVT Transfer Phuket Hotel to Phuket Airport (Car)</t>
  </si>
  <si>
    <t>Arrival at Bangkok  Airport and Transfer to BKK Hotel Pvt Basis (Car)</t>
  </si>
  <si>
    <t>Private Transfer Bangkok Hotel Bangkok Airport Pvt Basis (Car)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</si>
</sst>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7" formatCode="[$LKR ]#,##0.00"/>
    <numFmt numFmtId="168" formatCode="d/m/yyyy"/>
    <numFmt numFmtId="169" formatCode="mmmm\ d"/>
    <numFmt numFmtId="173" formatCode="dd/mm/yyyy"/>
    <numFmt numFmtId="174" formatCode="d\-m\-yyyy"/>
    <numFmt numFmtId="175" formatCode="dd\-mm\-yyyy"/>
  </numFmts>
  <fonts count="3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theme="1"/>
      <name val="Calibri"/>
    </font>
    <font>
      <b/>
      <sz val="11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b/>
      <sz val="11"/>
      <color rgb="FFFFFFFF"/>
      <name val="Arial"/>
    </font>
    <font>
      <sz val="10"/>
      <color rgb="FF222222"/>
      <name val="Arial"/>
    </font>
    <font>
      <b/>
      <sz val="9"/>
      <color theme="1"/>
      <name val="Arial"/>
    </font>
    <font>
      <sz val="9"/>
      <color theme="1"/>
      <name val="Arial"/>
      <scheme val="minor"/>
    </font>
    <font>
      <b/>
      <sz val="9"/>
      <color rgb="FF000000"/>
      <name val="Arial"/>
    </font>
    <font>
      <sz val="9"/>
      <color theme="1"/>
      <name val="&quot;Google Sans Mono&quot;"/>
    </font>
    <font>
      <b/>
      <sz val="10"/>
      <color theme="4"/>
      <name val="Arial"/>
      <scheme val="minor"/>
    </font>
    <font>
      <b/>
      <sz val="10"/>
      <color rgb="FF4285F4"/>
      <name val="Arial"/>
      <scheme val="minor"/>
    </font>
    <font>
      <b/>
      <sz val="11"/>
      <color rgb="FF4285F4"/>
      <name val="Calibri"/>
    </font>
    <font>
      <b/>
      <sz val="8"/>
      <color rgb="FFFF0000"/>
      <name val="Calibri"/>
    </font>
    <font>
      <i/>
      <sz val="10"/>
      <color theme="1"/>
      <name val="Arial"/>
      <scheme val="minor"/>
    </font>
    <font>
      <b/>
      <sz val="11"/>
      <color rgb="FFFF0000"/>
      <name val="Calibri"/>
    </font>
    <font>
      <sz val="11"/>
      <color rgb="FF000000"/>
      <name val="Calibri"/>
    </font>
    <font>
      <b/>
      <sz val="10"/>
      <color rgb="FFFFFFFF"/>
      <name val="Arial"/>
      <scheme val="minor"/>
    </font>
    <font>
      <b/>
      <i/>
      <sz val="9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4"/>
      <color theme="1"/>
      <name val="Calibri"/>
    </font>
    <font>
      <i/>
      <sz val="10"/>
      <color rgb="FFFF0000"/>
      <name val="Arial"/>
    </font>
    <font>
      <b/>
      <sz val="12"/>
      <color theme="1"/>
      <name val="&quot;Times New Roman&quot;"/>
    </font>
    <font>
      <b/>
      <sz val="12"/>
      <color theme="1"/>
      <name val="Arial"/>
    </font>
    <font>
      <u/>
      <sz val="12"/>
      <color rgb="FF0000FF"/>
      <name val="Arial"/>
    </font>
    <font>
      <b/>
      <u/>
      <sz val="12"/>
      <color theme="1"/>
      <name val="&quot;Times New Roman&quot;"/>
    </font>
    <font>
      <u/>
      <sz val="12"/>
      <color theme="1"/>
      <name val="&quot;Times New Roman&quot;"/>
    </font>
    <font>
      <u/>
      <sz val="12"/>
      <color theme="1"/>
      <name val="Arial"/>
    </font>
    <font>
      <u/>
      <sz val="12"/>
      <color rgb="FF1155CC"/>
      <name val="&quot;Times New Roman&quot;"/>
    </font>
    <font>
      <b/>
      <u/>
      <sz val="12"/>
      <color theme="1"/>
      <name val="Arial"/>
    </font>
    <font>
      <sz val="9"/>
      <color theme="1"/>
      <name val="Arial"/>
    </font>
    <font>
      <b/>
      <sz val="10"/>
      <color theme="4"/>
      <name val="Arial"/>
    </font>
    <font>
      <sz val="10"/>
      <color rgb="FFFF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rgb="FFD5A6BD"/>
        <bgColor rgb="FFD5A6BD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A8D08D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B6D7A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 applyFont="1" applyAlignment="1"/>
    <xf numFmtId="0" fontId="1" fillId="2" borderId="0" xfId="0" applyFont="1" applyFill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/>
    <xf numFmtId="0" fontId="3" fillId="2" borderId="2" xfId="0" applyFont="1" applyFill="1" applyBorder="1"/>
    <xf numFmtId="0" fontId="5" fillId="4" borderId="1" xfId="0" applyFont="1" applyFill="1" applyBorder="1" applyAlignment="1"/>
    <xf numFmtId="0" fontId="5" fillId="4" borderId="1" xfId="0" applyFont="1" applyFill="1" applyBorder="1" applyAlignment="1">
      <alignment horizontal="center"/>
    </xf>
    <xf numFmtId="0" fontId="5" fillId="2" borderId="3" xfId="0" applyFont="1" applyFill="1" applyBorder="1"/>
    <xf numFmtId="0" fontId="5" fillId="3" borderId="4" xfId="0" applyFont="1" applyFill="1" applyBorder="1"/>
    <xf numFmtId="0" fontId="5" fillId="3" borderId="4" xfId="0" applyFont="1" applyFill="1" applyBorder="1" applyAlignment="1"/>
    <xf numFmtId="0" fontId="5" fillId="5" borderId="4" xfId="0" applyFont="1" applyFill="1" applyBorder="1" applyAlignment="1"/>
    <xf numFmtId="0" fontId="6" fillId="2" borderId="0" xfId="0" applyFont="1" applyFill="1" applyAlignment="1"/>
    <xf numFmtId="0" fontId="2" fillId="2" borderId="0" xfId="0" applyFont="1" applyFill="1" applyAlignment="1"/>
    <xf numFmtId="0" fontId="1" fillId="0" borderId="0" xfId="0" applyFont="1"/>
    <xf numFmtId="0" fontId="1" fillId="0" borderId="4" xfId="0" applyFont="1" applyBorder="1" applyAlignment="1"/>
    <xf numFmtId="0" fontId="1" fillId="0" borderId="0" xfId="0" applyFont="1" applyAlignment="1"/>
    <xf numFmtId="0" fontId="7" fillId="2" borderId="0" xfId="0" applyFont="1" applyFill="1" applyAlignment="1"/>
    <xf numFmtId="167" fontId="7" fillId="2" borderId="0" xfId="0" applyNumberFormat="1" applyFont="1" applyFill="1" applyAlignment="1"/>
    <xf numFmtId="0" fontId="5" fillId="2" borderId="1" xfId="0" applyFont="1" applyFill="1" applyBorder="1"/>
    <xf numFmtId="0" fontId="3" fillId="2" borderId="0" xfId="0" applyFont="1" applyFill="1" applyAlignment="1"/>
    <xf numFmtId="167" fontId="2" fillId="2" borderId="0" xfId="0" applyNumberFormat="1" applyFont="1" applyFill="1" applyAlignment="1"/>
    <xf numFmtId="0" fontId="2" fillId="2" borderId="0" xfId="0" applyFont="1" applyFill="1" applyAlignment="1">
      <alignment horizontal="center"/>
    </xf>
    <xf numFmtId="168" fontId="5" fillId="0" borderId="0" xfId="0" applyNumberFormat="1" applyFont="1"/>
    <xf numFmtId="0" fontId="3" fillId="4" borderId="1" xfId="0" applyFont="1" applyFill="1" applyBorder="1" applyAlignment="1">
      <alignment horizontal="center"/>
    </xf>
    <xf numFmtId="0" fontId="1" fillId="0" borderId="4" xfId="0" applyFont="1" applyBorder="1"/>
    <xf numFmtId="0" fontId="3" fillId="2" borderId="0" xfId="0" applyFont="1" applyFill="1" applyAlignment="1"/>
    <xf numFmtId="0" fontId="5" fillId="4" borderId="1" xfId="0" applyFont="1" applyFill="1" applyBorder="1"/>
    <xf numFmtId="169" fontId="1" fillId="0" borderId="0" xfId="0" applyNumberFormat="1" applyFont="1" applyAlignment="1"/>
    <xf numFmtId="167" fontId="6" fillId="2" borderId="0" xfId="0" applyNumberFormat="1" applyFont="1" applyFill="1" applyAlignment="1"/>
    <xf numFmtId="0" fontId="5" fillId="0" borderId="0" xfId="0" applyFont="1" applyAlignment="1">
      <alignment horizontal="center"/>
    </xf>
    <xf numFmtId="0" fontId="1" fillId="2" borderId="0" xfId="0" applyFont="1" applyFill="1" applyAlignment="1"/>
    <xf numFmtId="15" fontId="8" fillId="0" borderId="0" xfId="0" applyNumberFormat="1" applyFont="1"/>
    <xf numFmtId="0" fontId="9" fillId="0" borderId="0" xfId="0" applyFont="1" applyAlignment="1"/>
    <xf numFmtId="0" fontId="3" fillId="0" borderId="0" xfId="0" applyFont="1"/>
    <xf numFmtId="0" fontId="5" fillId="0" borderId="0" xfId="0" applyFont="1" applyAlignment="1">
      <alignment horizontal="center"/>
    </xf>
    <xf numFmtId="0" fontId="2" fillId="2" borderId="0" xfId="0" applyFont="1" applyFill="1" applyAlignment="1"/>
    <xf numFmtId="0" fontId="10" fillId="0" borderId="0" xfId="0" applyFont="1" applyAlignment="1"/>
    <xf numFmtId="0" fontId="2" fillId="2" borderId="0" xfId="0" applyFont="1" applyFill="1" applyAlignment="1"/>
    <xf numFmtId="0" fontId="2" fillId="2" borderId="0" xfId="0" applyFont="1" applyFill="1" applyAlignment="1"/>
    <xf numFmtId="173" fontId="5" fillId="0" borderId="0" xfId="0" applyNumberFormat="1" applyFont="1" applyAlignment="1"/>
    <xf numFmtId="0" fontId="11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9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1" fillId="0" borderId="0" xfId="0" applyFont="1" applyAlignment="1">
      <alignment wrapText="1"/>
    </xf>
    <xf numFmtId="0" fontId="3" fillId="6" borderId="1" xfId="0" applyFont="1" applyFill="1" applyBorder="1" applyAlignment="1">
      <alignment horizontal="center"/>
    </xf>
    <xf numFmtId="0" fontId="5" fillId="6" borderId="1" xfId="0" applyFont="1" applyFill="1" applyBorder="1"/>
    <xf numFmtId="0" fontId="1" fillId="7" borderId="4" xfId="0" applyFont="1" applyFill="1" applyBorder="1"/>
    <xf numFmtId="0" fontId="5" fillId="6" borderId="1" xfId="0" applyFont="1" applyFill="1" applyBorder="1" applyAlignment="1">
      <alignment horizontal="center"/>
    </xf>
    <xf numFmtId="0" fontId="5" fillId="0" borderId="0" xfId="0" applyFont="1"/>
    <xf numFmtId="0" fontId="5" fillId="6" borderId="4" xfId="0" applyFont="1" applyFill="1" applyBorder="1" applyAlignment="1"/>
    <xf numFmtId="0" fontId="5" fillId="6" borderId="4" xfId="0" applyFont="1" applyFill="1" applyBorder="1"/>
    <xf numFmtId="0" fontId="5" fillId="5" borderId="4" xfId="0" applyFont="1" applyFill="1" applyBorder="1"/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5" fillId="2" borderId="5" xfId="0" applyFont="1" applyFill="1" applyBorder="1"/>
    <xf numFmtId="9" fontId="5" fillId="8" borderId="4" xfId="0" applyNumberFormat="1" applyFont="1" applyFill="1" applyBorder="1" applyAlignment="1"/>
    <xf numFmtId="0" fontId="5" fillId="8" borderId="4" xfId="0" applyFont="1" applyFill="1" applyBorder="1"/>
    <xf numFmtId="0" fontId="1" fillId="9" borderId="4" xfId="0" applyFont="1" applyFill="1" applyBorder="1" applyAlignment="1"/>
    <xf numFmtId="0" fontId="12" fillId="2" borderId="0" xfId="0" applyFont="1" applyFill="1" applyAlignment="1"/>
    <xf numFmtId="0" fontId="1" fillId="9" borderId="4" xfId="0" applyFont="1" applyFill="1" applyBorder="1"/>
    <xf numFmtId="9" fontId="5" fillId="2" borderId="0" xfId="0" applyNumberFormat="1" applyFont="1" applyFill="1" applyAlignment="1"/>
    <xf numFmtId="9" fontId="5" fillId="2" borderId="0" xfId="0" applyNumberFormat="1" applyFont="1" applyFill="1" applyAlignment="1">
      <alignment horizontal="left"/>
    </xf>
    <xf numFmtId="9" fontId="5" fillId="2" borderId="0" xfId="0" applyNumberFormat="1" applyFont="1" applyFill="1"/>
    <xf numFmtId="0" fontId="13" fillId="0" borderId="0" xfId="0" applyFont="1" applyAlignment="1"/>
    <xf numFmtId="0" fontId="5" fillId="2" borderId="0" xfId="0" applyFont="1" applyFill="1" applyAlignment="1"/>
    <xf numFmtId="0" fontId="14" fillId="0" borderId="0" xfId="0" applyFont="1" applyAlignment="1"/>
    <xf numFmtId="0" fontId="5" fillId="2" borderId="6" xfId="0" applyFont="1" applyFill="1" applyBorder="1"/>
    <xf numFmtId="9" fontId="5" fillId="2" borderId="1" xfId="0" applyNumberFormat="1" applyFont="1" applyFill="1" applyBorder="1" applyAlignment="1">
      <alignment horizontal="left"/>
    </xf>
    <xf numFmtId="9" fontId="5" fillId="2" borderId="1" xfId="0" applyNumberFormat="1" applyFont="1" applyFill="1" applyBorder="1"/>
    <xf numFmtId="0" fontId="13" fillId="2" borderId="0" xfId="0" applyFont="1" applyFill="1" applyAlignment="1"/>
    <xf numFmtId="0" fontId="5" fillId="2" borderId="0" xfId="0" applyFont="1" applyFill="1" applyAlignment="1">
      <alignment horizontal="left"/>
    </xf>
    <xf numFmtId="0" fontId="2" fillId="2" borderId="4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0" fontId="2" fillId="10" borderId="4" xfId="0" applyFont="1" applyFill="1" applyBorder="1" applyAlignment="1">
      <alignment horizontal="right"/>
    </xf>
    <xf numFmtId="0" fontId="15" fillId="0" borderId="0" xfId="0" applyFont="1" applyAlignment="1"/>
    <xf numFmtId="0" fontId="14" fillId="2" borderId="0" xfId="0" applyFont="1" applyFill="1" applyAlignment="1"/>
    <xf numFmtId="0" fontId="16" fillId="0" borderId="0" xfId="0" applyFont="1" applyAlignment="1">
      <alignment horizontal="center"/>
    </xf>
    <xf numFmtId="9" fontId="5" fillId="2" borderId="1" xfId="0" applyNumberFormat="1" applyFont="1" applyFill="1" applyBorder="1" applyAlignment="1"/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13" fillId="0" borderId="0" xfId="0" applyFont="1"/>
    <xf numFmtId="0" fontId="5" fillId="2" borderId="1" xfId="0" applyFont="1" applyFill="1" applyBorder="1" applyAlignment="1"/>
    <xf numFmtId="0" fontId="18" fillId="0" borderId="0" xfId="0" applyFont="1"/>
    <xf numFmtId="0" fontId="19" fillId="0" borderId="0" xfId="0" applyFont="1" applyAlignment="1">
      <alignment horizontal="left" vertical="center" readingOrder="1"/>
    </xf>
    <xf numFmtId="174" fontId="1" fillId="0" borderId="0" xfId="0" applyNumberFormat="1" applyFont="1" applyAlignment="1"/>
    <xf numFmtId="175" fontId="1" fillId="0" borderId="0" xfId="0" applyNumberFormat="1" applyFont="1" applyAlignment="1"/>
    <xf numFmtId="0" fontId="0" fillId="11" borderId="0" xfId="0" applyFont="1" applyFill="1" applyAlignment="1"/>
    <xf numFmtId="0" fontId="3" fillId="12" borderId="7" xfId="0" applyFont="1" applyFill="1" applyBorder="1" applyAlignment="1">
      <alignment horizontal="center" vertical="center"/>
    </xf>
    <xf numFmtId="0" fontId="3" fillId="12" borderId="8" xfId="0" applyFont="1" applyFill="1" applyBorder="1"/>
    <xf numFmtId="0" fontId="1" fillId="13" borderId="0" xfId="0" applyFont="1" applyFill="1"/>
    <xf numFmtId="0" fontId="6" fillId="11" borderId="0" xfId="0" applyFont="1" applyFill="1" applyAlignment="1"/>
    <xf numFmtId="0" fontId="2" fillId="11" borderId="0" xfId="0" applyFont="1" applyFill="1" applyAlignment="1"/>
    <xf numFmtId="0" fontId="2" fillId="14" borderId="0" xfId="0" applyFont="1" applyFill="1" applyAlignment="1"/>
    <xf numFmtId="0" fontId="3" fillId="11" borderId="6" xfId="0" applyFont="1" applyFill="1" applyBorder="1"/>
    <xf numFmtId="0" fontId="0" fillId="11" borderId="6" xfId="0" applyFont="1" applyFill="1" applyBorder="1" applyAlignment="1"/>
    <xf numFmtId="0" fontId="1" fillId="13" borderId="6" xfId="0" applyFont="1" applyFill="1" applyBorder="1"/>
    <xf numFmtId="0" fontId="1" fillId="11" borderId="6" xfId="0" applyFont="1" applyFill="1" applyBorder="1"/>
    <xf numFmtId="0" fontId="5" fillId="13" borderId="6" xfId="0" applyFont="1" applyFill="1" applyBorder="1"/>
    <xf numFmtId="0" fontId="16" fillId="11" borderId="6" xfId="0" applyFont="1" applyFill="1" applyBorder="1" applyAlignment="1">
      <alignment horizontal="center"/>
    </xf>
    <xf numFmtId="0" fontId="17" fillId="11" borderId="6" xfId="0" applyFont="1" applyFill="1" applyBorder="1" applyAlignment="1"/>
    <xf numFmtId="0" fontId="3" fillId="15" borderId="6" xfId="0" applyFont="1" applyFill="1" applyBorder="1" applyAlignment="1">
      <alignment horizontal="center" vertical="center"/>
    </xf>
    <xf numFmtId="0" fontId="3" fillId="15" borderId="6" xfId="0" applyFont="1" applyFill="1" applyBorder="1"/>
    <xf numFmtId="0" fontId="3" fillId="11" borderId="6" xfId="0" applyFont="1" applyFill="1" applyBorder="1" applyAlignment="1">
      <alignment horizontal="center"/>
    </xf>
    <xf numFmtId="0" fontId="18" fillId="11" borderId="6" xfId="0" applyFont="1" applyFill="1" applyBorder="1"/>
    <xf numFmtId="0" fontId="1" fillId="11" borderId="6" xfId="0" applyFont="1" applyFill="1" applyBorder="1" applyAlignment="1"/>
    <xf numFmtId="0" fontId="3" fillId="12" borderId="6" xfId="0" applyFont="1" applyFill="1" applyBorder="1" applyAlignment="1">
      <alignment horizontal="center" vertical="center"/>
    </xf>
    <xf numFmtId="0" fontId="3" fillId="12" borderId="6" xfId="0" applyFont="1" applyFill="1" applyBorder="1"/>
    <xf numFmtId="0" fontId="20" fillId="16" borderId="6" xfId="0" applyFont="1" applyFill="1" applyBorder="1" applyAlignment="1"/>
    <xf numFmtId="0" fontId="1" fillId="16" borderId="6" xfId="0" applyFont="1" applyFill="1" applyBorder="1"/>
    <xf numFmtId="0" fontId="5" fillId="17" borderId="6" xfId="0" applyFont="1" applyFill="1" applyBorder="1" applyAlignment="1"/>
    <xf numFmtId="0" fontId="5" fillId="17" borderId="6" xfId="0" applyFont="1" applyFill="1" applyBorder="1" applyAlignment="1">
      <alignment horizontal="center"/>
    </xf>
    <xf numFmtId="0" fontId="3" fillId="11" borderId="6" xfId="0" applyFont="1" applyFill="1" applyBorder="1" applyAlignment="1"/>
    <xf numFmtId="0" fontId="5" fillId="11" borderId="6" xfId="0" applyFont="1" applyFill="1" applyBorder="1" applyAlignment="1">
      <alignment horizontal="center"/>
    </xf>
    <xf numFmtId="0" fontId="21" fillId="11" borderId="6" xfId="0" applyFont="1" applyFill="1" applyBorder="1" applyAlignment="1"/>
    <xf numFmtId="0" fontId="2" fillId="11" borderId="6" xfId="0" applyFont="1" applyFill="1" applyBorder="1" applyAlignment="1"/>
    <xf numFmtId="0" fontId="22" fillId="11" borderId="6" xfId="0" applyFont="1" applyFill="1" applyBorder="1" applyAlignment="1"/>
    <xf numFmtId="0" fontId="23" fillId="11" borderId="6" xfId="0" applyFont="1" applyFill="1" applyBorder="1" applyAlignment="1"/>
    <xf numFmtId="0" fontId="24" fillId="18" borderId="6" xfId="0" applyFont="1" applyFill="1" applyBorder="1" applyAlignment="1">
      <alignment horizontal="center"/>
    </xf>
    <xf numFmtId="0" fontId="2" fillId="18" borderId="6" xfId="0" applyFont="1" applyFill="1" applyBorder="1" applyAlignment="1"/>
    <xf numFmtId="0" fontId="2" fillId="13" borderId="6" xfId="0" applyFont="1" applyFill="1" applyBorder="1" applyAlignment="1"/>
    <xf numFmtId="0" fontId="4" fillId="19" borderId="6" xfId="0" applyFont="1" applyFill="1" applyBorder="1" applyAlignment="1"/>
    <xf numFmtId="0" fontId="2" fillId="19" borderId="6" xfId="0" applyFont="1" applyFill="1" applyBorder="1" applyAlignment="1"/>
    <xf numFmtId="0" fontId="6" fillId="11" borderId="6" xfId="0" applyFont="1" applyFill="1" applyBorder="1" applyAlignment="1"/>
    <xf numFmtId="0" fontId="25" fillId="11" borderId="6" xfId="0" applyFont="1" applyFill="1" applyBorder="1" applyAlignment="1"/>
    <xf numFmtId="0" fontId="26" fillId="11" borderId="6" xfId="0" applyFont="1" applyFill="1" applyBorder="1" applyAlignment="1">
      <alignment horizontal="center"/>
    </xf>
    <xf numFmtId="0" fontId="27" fillId="11" borderId="6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31" fillId="11" borderId="6" xfId="0" applyFont="1" applyFill="1" applyBorder="1" applyAlignment="1">
      <alignment horizontal="center"/>
    </xf>
    <xf numFmtId="0" fontId="32" fillId="11" borderId="6" xfId="0" applyFont="1" applyFill="1" applyBorder="1" applyAlignment="1">
      <alignment horizontal="center"/>
    </xf>
    <xf numFmtId="0" fontId="33" fillId="11" borderId="6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8F5EE"/>
          <bgColor rgb="FFF8F5EE"/>
        </patternFill>
      </fill>
    </dxf>
    <dxf>
      <fill>
        <patternFill patternType="solid">
          <fgColor rgb="FFF8F5EE"/>
          <bgColor rgb="FFF8F5EE"/>
        </patternFill>
      </fill>
    </dxf>
  </dxfs>
  <tableStyles count="2">
    <tableStyle name="Air Invoice 10478-style" pivot="0" count="1">
      <tableStyleElement type="firstRowStripe" dxfId="1"/>
    </tableStyle>
    <tableStyle name="Ground Package- 10479-2-style" pivot="0" count="1"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2733675</xdr:colOff>
      <xdr:row>0</xdr:row>
      <xdr:rowOff>104775</xdr:rowOff>
    </xdr:from>
    <xdr:ext cx="2076450" cy="120967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2676525</xdr:colOff>
      <xdr:row>0</xdr:row>
      <xdr:rowOff>9525</xdr:rowOff>
    </xdr:from>
    <xdr:ext cx="2466975" cy="1428750"/>
    <xdr:pic>
      <xdr:nvPicPr>
        <xdr:cNvPr id="8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66"/>
  <sheetViews>
    <sheetView tabSelected="1" workbookViewId="0">
      <selection activeCell="B8" sqref="B8"/>
    </sheetView>
  </sheetViews>
  <sheetFormatPr defaultColWidth="12.5703125" defaultRowHeight="15.75" customHeight="1"/>
  <cols>
    <col min="1" max="1" width="13.28515625" customWidth="1"/>
    <col min="2" max="2" width="105.28515625" customWidth="1"/>
    <col min="3" max="3" width="9.5703125" customWidth="1"/>
    <col min="4" max="5" width="7.5703125" customWidth="1"/>
    <col min="6" max="6" width="8.85546875" customWidth="1"/>
    <col min="7" max="7" width="7.28515625" customWidth="1"/>
    <col min="8" max="8" width="56.42578125" customWidth="1"/>
    <col min="9" max="9" width="5.7109375" customWidth="1"/>
    <col min="10" max="10" width="7.5703125" customWidth="1"/>
    <col min="11" max="11" width="8.140625" customWidth="1"/>
    <col min="12" max="26" width="7.5703125" customWidth="1"/>
  </cols>
  <sheetData>
    <row r="1" spans="1:18" ht="123.75" customHeight="1">
      <c r="A1" s="19" t="s">
        <v>10</v>
      </c>
      <c r="I1" s="2"/>
      <c r="K1" s="2"/>
    </row>
    <row r="2" spans="1:18" ht="15">
      <c r="B2" s="4" t="s">
        <v>11</v>
      </c>
      <c r="C2" s="5"/>
      <c r="D2" s="22"/>
      <c r="E2" s="22"/>
      <c r="I2" s="2"/>
      <c r="K2" s="2"/>
      <c r="R2" s="22"/>
    </row>
    <row r="3" spans="1:18" ht="15">
      <c r="B3" s="6" t="s">
        <v>1</v>
      </c>
      <c r="C3" s="6" t="s">
        <v>2</v>
      </c>
      <c r="I3" s="2"/>
      <c r="K3" s="2"/>
    </row>
    <row r="4" spans="1:18" ht="15">
      <c r="A4" s="26"/>
      <c r="B4" s="9" t="s">
        <v>13</v>
      </c>
      <c r="C4" s="27" t="s">
        <v>4</v>
      </c>
      <c r="D4" s="12" t="s">
        <v>5</v>
      </c>
      <c r="E4" s="12" t="s">
        <v>6</v>
      </c>
      <c r="F4" s="14" t="s">
        <v>8</v>
      </c>
      <c r="G4" s="31"/>
      <c r="H4" s="16"/>
      <c r="I4" s="16"/>
      <c r="J4" s="16"/>
      <c r="K4" s="16"/>
      <c r="L4" s="1"/>
    </row>
    <row r="5" spans="1:18" ht="15">
      <c r="B5" s="19" t="s">
        <v>16</v>
      </c>
      <c r="C5" s="33" t="s">
        <v>17</v>
      </c>
      <c r="D5" s="18"/>
      <c r="E5" s="18">
        <v>1900</v>
      </c>
      <c r="F5" s="18">
        <v>1900</v>
      </c>
      <c r="H5" s="16"/>
      <c r="I5" s="21"/>
      <c r="J5" s="20"/>
      <c r="K5" s="21"/>
      <c r="L5" s="1"/>
    </row>
    <row r="6" spans="1:18" ht="15">
      <c r="B6" s="37" t="s">
        <v>21</v>
      </c>
      <c r="C6" s="38"/>
      <c r="D6" s="18">
        <v>300</v>
      </c>
      <c r="E6" s="18"/>
      <c r="F6" s="18"/>
      <c r="H6" s="16"/>
      <c r="I6" s="21"/>
      <c r="J6" s="20"/>
      <c r="K6" s="21"/>
      <c r="L6" s="1"/>
    </row>
    <row r="7" spans="1:18" ht="15">
      <c r="B7" s="40" t="s">
        <v>22</v>
      </c>
      <c r="C7" s="38"/>
      <c r="D7" s="28"/>
      <c r="E7" s="28"/>
      <c r="F7" s="28"/>
      <c r="H7" s="16"/>
      <c r="I7" s="24"/>
      <c r="J7" s="25"/>
      <c r="K7" s="24"/>
      <c r="L7" s="1"/>
    </row>
    <row r="8" spans="1:18" ht="15">
      <c r="B8" s="17" t="s">
        <v>14</v>
      </c>
      <c r="C8" s="38"/>
      <c r="D8" s="18"/>
      <c r="E8" s="18"/>
      <c r="F8" s="28"/>
      <c r="H8" s="41"/>
      <c r="I8" s="24"/>
      <c r="J8" s="25"/>
      <c r="K8" s="24"/>
      <c r="L8" s="1"/>
    </row>
    <row r="9" spans="1:18" ht="15">
      <c r="A9" s="26"/>
      <c r="B9" s="9" t="s">
        <v>25</v>
      </c>
      <c r="C9" s="10"/>
      <c r="D9" s="12" t="s">
        <v>5</v>
      </c>
      <c r="E9" s="12" t="s">
        <v>6</v>
      </c>
      <c r="F9" s="14" t="s">
        <v>8</v>
      </c>
      <c r="H9" s="42"/>
      <c r="I9" s="20"/>
      <c r="J9" s="20"/>
      <c r="K9" s="20"/>
      <c r="L9" s="1"/>
    </row>
    <row r="10" spans="1:18" ht="15">
      <c r="B10" s="17" t="s">
        <v>18</v>
      </c>
      <c r="C10" s="38" t="s">
        <v>24</v>
      </c>
      <c r="D10" s="28"/>
      <c r="E10" s="28"/>
      <c r="F10" s="18">
        <v>2000</v>
      </c>
      <c r="H10" s="42"/>
      <c r="I10" s="24"/>
      <c r="J10" s="25"/>
      <c r="K10" s="24"/>
      <c r="L10" s="1"/>
    </row>
    <row r="11" spans="1:18" ht="15">
      <c r="B11" s="17" t="s">
        <v>28</v>
      </c>
      <c r="C11" s="38"/>
      <c r="D11" s="18"/>
      <c r="E11" s="18"/>
      <c r="F11" s="28"/>
      <c r="H11" s="42"/>
      <c r="I11" s="24"/>
      <c r="J11" s="25"/>
      <c r="K11" s="24"/>
      <c r="L11" s="1"/>
    </row>
    <row r="12" spans="1:18" ht="15">
      <c r="B12" s="19" t="s">
        <v>30</v>
      </c>
      <c r="C12" s="38"/>
      <c r="D12" s="28"/>
      <c r="E12" s="18">
        <v>1700</v>
      </c>
      <c r="F12" s="28"/>
      <c r="H12" s="42"/>
      <c r="I12" s="24"/>
      <c r="J12" s="25"/>
      <c r="K12" s="24"/>
      <c r="L12" s="1"/>
    </row>
    <row r="13" spans="1:18" ht="15">
      <c r="B13" s="40" t="s">
        <v>31</v>
      </c>
      <c r="C13" s="38"/>
      <c r="D13" s="28"/>
      <c r="E13" s="18"/>
      <c r="F13" s="28"/>
      <c r="H13" s="16"/>
      <c r="I13" s="16"/>
      <c r="J13" s="16"/>
      <c r="K13" s="32"/>
      <c r="L13" s="1"/>
    </row>
    <row r="14" spans="1:18" ht="15">
      <c r="B14" s="46" t="s">
        <v>33</v>
      </c>
      <c r="C14" s="47"/>
      <c r="D14" s="18">
        <v>1150</v>
      </c>
      <c r="E14" s="28"/>
      <c r="F14" s="28"/>
      <c r="H14" s="3"/>
      <c r="I14" s="2"/>
      <c r="K14" s="2"/>
    </row>
    <row r="15" spans="1:18" ht="15">
      <c r="B15" s="17" t="s">
        <v>14</v>
      </c>
      <c r="C15" s="38"/>
      <c r="D15" s="28"/>
      <c r="E15" s="28"/>
      <c r="F15" s="28"/>
      <c r="H15" s="3"/>
      <c r="I15" s="2"/>
      <c r="K15" s="2"/>
    </row>
    <row r="16" spans="1:18" ht="15">
      <c r="A16" s="26"/>
      <c r="B16" s="9" t="s">
        <v>35</v>
      </c>
      <c r="C16" s="10"/>
      <c r="D16" s="12" t="s">
        <v>5</v>
      </c>
      <c r="E16" s="12" t="s">
        <v>6</v>
      </c>
      <c r="F16" s="14" t="s">
        <v>8</v>
      </c>
      <c r="H16" s="3"/>
      <c r="I16" s="2"/>
      <c r="K16" s="2"/>
    </row>
    <row r="17" spans="1:15" ht="15">
      <c r="B17" s="17" t="s">
        <v>18</v>
      </c>
      <c r="C17" s="33" t="s">
        <v>19</v>
      </c>
      <c r="D17" s="18"/>
      <c r="E17" s="28"/>
      <c r="F17" s="18">
        <v>2000</v>
      </c>
      <c r="H17" s="3"/>
      <c r="I17" s="2"/>
      <c r="K17" s="2"/>
    </row>
    <row r="18" spans="1:15" ht="15">
      <c r="B18" s="46" t="s">
        <v>38</v>
      </c>
      <c r="C18" s="47"/>
      <c r="D18" s="18">
        <v>1450</v>
      </c>
      <c r="E18" s="28"/>
      <c r="F18" s="18"/>
      <c r="H18" s="49"/>
      <c r="I18" s="2"/>
      <c r="K18" s="2"/>
    </row>
    <row r="19" spans="1:15" ht="15">
      <c r="B19" s="17" t="s">
        <v>14</v>
      </c>
      <c r="C19" s="38"/>
      <c r="D19" s="28"/>
      <c r="E19" s="28"/>
      <c r="F19" s="28"/>
      <c r="H19" s="3"/>
      <c r="I19" s="2"/>
      <c r="K19" s="2"/>
    </row>
    <row r="20" spans="1:15" ht="15">
      <c r="A20" s="26"/>
      <c r="B20" s="9" t="s">
        <v>41</v>
      </c>
      <c r="C20" s="10"/>
      <c r="D20" s="12" t="s">
        <v>5</v>
      </c>
      <c r="E20" s="12" t="s">
        <v>6</v>
      </c>
      <c r="F20" s="14" t="s">
        <v>8</v>
      </c>
      <c r="H20" s="49"/>
      <c r="I20" s="2"/>
      <c r="K20" s="2"/>
    </row>
    <row r="21" spans="1:15" ht="15">
      <c r="A21" s="26"/>
      <c r="B21" s="17" t="s">
        <v>18</v>
      </c>
      <c r="C21" s="38" t="s">
        <v>37</v>
      </c>
      <c r="D21" s="18"/>
      <c r="E21" s="28"/>
      <c r="F21" s="18">
        <v>2000</v>
      </c>
      <c r="H21" s="42"/>
      <c r="I21" s="2"/>
      <c r="K21" s="2"/>
    </row>
    <row r="22" spans="1:15" ht="15">
      <c r="A22" s="26"/>
      <c r="B22" s="46" t="s">
        <v>43</v>
      </c>
      <c r="C22" s="47"/>
      <c r="D22" s="18"/>
      <c r="E22" s="28"/>
      <c r="F22" s="18"/>
      <c r="H22" s="42"/>
      <c r="I22" s="2"/>
      <c r="K22" s="2"/>
    </row>
    <row r="23" spans="1:15" ht="15">
      <c r="A23" s="26"/>
      <c r="B23" s="17" t="s">
        <v>14</v>
      </c>
      <c r="C23" s="38"/>
      <c r="D23" s="18"/>
      <c r="E23" s="28"/>
      <c r="F23" s="18"/>
      <c r="H23" s="42"/>
      <c r="I23" s="2"/>
      <c r="K23" s="2"/>
    </row>
    <row r="24" spans="1:15" ht="15">
      <c r="A24" s="26"/>
      <c r="B24" s="9" t="s">
        <v>45</v>
      </c>
      <c r="C24" s="10"/>
      <c r="D24" s="12" t="s">
        <v>5</v>
      </c>
      <c r="E24" s="12" t="s">
        <v>6</v>
      </c>
      <c r="F24" s="14" t="s">
        <v>8</v>
      </c>
      <c r="H24" s="42"/>
      <c r="I24" s="2"/>
      <c r="K24" s="2"/>
    </row>
    <row r="25" spans="1:15" ht="15">
      <c r="B25" s="17" t="s">
        <v>18</v>
      </c>
      <c r="C25" s="38" t="s">
        <v>37</v>
      </c>
      <c r="D25" s="18"/>
      <c r="E25" s="28"/>
      <c r="F25" s="28"/>
      <c r="H25" s="16"/>
      <c r="I25" s="2"/>
      <c r="K25" s="2"/>
    </row>
    <row r="26" spans="1:15" ht="12.75">
      <c r="B26" s="17" t="s">
        <v>28</v>
      </c>
      <c r="D26" s="28"/>
      <c r="E26" s="18"/>
      <c r="F26" s="28"/>
      <c r="I26" s="2"/>
      <c r="K26" s="2"/>
    </row>
    <row r="27" spans="1:15" ht="12.75">
      <c r="B27" s="19" t="s">
        <v>47</v>
      </c>
      <c r="D27" s="28"/>
      <c r="E27" s="18">
        <v>1000</v>
      </c>
      <c r="F27" s="28"/>
      <c r="I27" s="2"/>
      <c r="K27" s="2"/>
    </row>
    <row r="28" spans="1:15" ht="15">
      <c r="A28" s="26"/>
      <c r="D28" s="12" t="s">
        <v>5</v>
      </c>
      <c r="E28" s="12" t="s">
        <v>6</v>
      </c>
      <c r="F28" s="14" t="s">
        <v>8</v>
      </c>
      <c r="I28" s="2"/>
      <c r="K28" s="2"/>
    </row>
    <row r="29" spans="1:15" ht="15">
      <c r="B29" s="52" t="s">
        <v>46</v>
      </c>
      <c r="C29" s="55"/>
      <c r="D29" s="28"/>
      <c r="E29" s="28">
        <f>SUM(E2:E27)</f>
        <v>4600</v>
      </c>
      <c r="F29" s="28">
        <f t="shared" ref="E29:F29" si="0">SUM(F2:F27)</f>
        <v>7900</v>
      </c>
      <c r="I29" s="2"/>
      <c r="K29" s="2"/>
    </row>
    <row r="30" spans="1:15" ht="15">
      <c r="B30" s="38"/>
      <c r="C30" s="38"/>
      <c r="D30" s="28">
        <f>SUM(D2:D27)</f>
        <v>2900</v>
      </c>
      <c r="E30" s="54">
        <f>SUM(E29/2)</f>
        <v>2300</v>
      </c>
      <c r="F30" s="28">
        <f t="shared" ref="E30:F30" si="1">SUM(F29/2)</f>
        <v>3950</v>
      </c>
      <c r="G30" s="17" t="s">
        <v>50</v>
      </c>
      <c r="I30" s="45"/>
      <c r="J30" s="1"/>
      <c r="K30" s="45"/>
      <c r="L30" s="1"/>
      <c r="M30" s="1"/>
      <c r="N30" s="1"/>
      <c r="O30" s="1"/>
    </row>
    <row r="31" spans="1:15" ht="15">
      <c r="B31" s="37" t="s">
        <v>51</v>
      </c>
      <c r="C31" s="38"/>
      <c r="D31" s="57" t="s">
        <v>48</v>
      </c>
      <c r="E31" s="58"/>
      <c r="F31" s="59"/>
      <c r="G31" s="1"/>
      <c r="H31" s="1"/>
      <c r="I31" s="45"/>
      <c r="J31" s="1"/>
      <c r="K31" s="45"/>
      <c r="L31" s="1"/>
      <c r="M31" s="1"/>
      <c r="N31" s="1"/>
      <c r="O31" s="1"/>
    </row>
    <row r="32" spans="1:15" ht="15">
      <c r="B32" s="19" t="s">
        <v>54</v>
      </c>
      <c r="C32" s="37"/>
      <c r="D32" s="28"/>
      <c r="E32" s="18"/>
      <c r="F32" s="28">
        <f>SUM(D30+E30+F30)</f>
        <v>9150</v>
      </c>
      <c r="G32" s="66"/>
      <c r="H32" s="1"/>
      <c r="I32" s="45"/>
      <c r="J32" s="1"/>
      <c r="K32" s="45"/>
      <c r="L32" s="1"/>
      <c r="M32" s="1"/>
      <c r="N32" s="1"/>
      <c r="O32" s="1"/>
    </row>
    <row r="33" spans="2:15" ht="15">
      <c r="B33" s="17" t="s">
        <v>57</v>
      </c>
      <c r="D33" s="28"/>
      <c r="E33" s="28"/>
      <c r="F33" s="28"/>
      <c r="G33" s="16"/>
      <c r="H33" s="1"/>
      <c r="I33" s="69"/>
      <c r="J33" s="1"/>
      <c r="K33" s="45"/>
      <c r="L33" s="70"/>
      <c r="M33" s="1"/>
      <c r="N33" s="1"/>
      <c r="O33" s="1"/>
    </row>
    <row r="34" spans="2:15" ht="15">
      <c r="B34" s="17" t="s">
        <v>55</v>
      </c>
      <c r="D34" s="28"/>
      <c r="E34" s="63">
        <v>0.25</v>
      </c>
      <c r="F34" s="64">
        <f>SUM(F32*125/100)</f>
        <v>11437.5</v>
      </c>
      <c r="G34" s="74"/>
      <c r="H34" s="1"/>
      <c r="I34" s="75"/>
      <c r="J34" s="11"/>
      <c r="K34" s="45"/>
      <c r="L34" s="76"/>
      <c r="M34" s="11"/>
      <c r="N34" s="1"/>
      <c r="O34" s="1"/>
    </row>
    <row r="35" spans="2:15" ht="15">
      <c r="B35" s="17" t="s">
        <v>58</v>
      </c>
      <c r="D35" s="28"/>
      <c r="E35" s="65" t="s">
        <v>56</v>
      </c>
      <c r="F35" s="67">
        <f>F34-F32</f>
        <v>2287.5</v>
      </c>
      <c r="G35" s="16"/>
      <c r="H35" s="1"/>
      <c r="I35" s="69"/>
      <c r="J35" s="1"/>
      <c r="K35" s="45"/>
      <c r="L35" s="70"/>
      <c r="M35" s="1"/>
      <c r="N35" s="1"/>
      <c r="O35" s="1"/>
    </row>
    <row r="36" spans="2:15" ht="15">
      <c r="B36" s="71" t="s">
        <v>21</v>
      </c>
      <c r="D36" s="28"/>
      <c r="E36" s="28"/>
      <c r="F36" s="28"/>
      <c r="G36" s="60"/>
      <c r="H36" s="1"/>
      <c r="I36" s="78"/>
      <c r="J36" s="60"/>
      <c r="K36" s="45"/>
      <c r="L36" s="60"/>
      <c r="M36" s="60"/>
      <c r="N36" s="1"/>
      <c r="O36" s="1"/>
    </row>
    <row r="37" spans="2:15" ht="15">
      <c r="B37" s="73" t="s">
        <v>63</v>
      </c>
      <c r="D37" s="28"/>
      <c r="E37" s="13" t="s">
        <v>59</v>
      </c>
      <c r="F37" s="12">
        <f>F34</f>
        <v>11437.5</v>
      </c>
      <c r="G37" s="74"/>
      <c r="H37" s="1"/>
      <c r="I37" s="80"/>
      <c r="J37" s="11"/>
      <c r="K37" s="45"/>
      <c r="L37" s="22"/>
      <c r="M37" s="11"/>
      <c r="N37" s="1"/>
      <c r="O37" s="1"/>
    </row>
    <row r="38" spans="2:15" ht="15">
      <c r="B38" s="82" t="s">
        <v>34</v>
      </c>
      <c r="D38" s="28"/>
      <c r="E38" s="28"/>
      <c r="F38" s="28"/>
      <c r="G38" s="1"/>
      <c r="H38" s="1"/>
      <c r="I38" s="45"/>
      <c r="J38" s="1"/>
      <c r="K38" s="45"/>
      <c r="L38" s="1"/>
      <c r="M38" s="1"/>
      <c r="N38" s="1"/>
      <c r="O38" s="1"/>
    </row>
    <row r="39" spans="2:15" ht="12.75">
      <c r="B39" s="83" t="s">
        <v>67</v>
      </c>
      <c r="D39" s="28"/>
      <c r="E39" s="28" t="s">
        <v>60</v>
      </c>
      <c r="F39" s="54">
        <f>SUM(F37*10.8)</f>
        <v>123525.00000000001</v>
      </c>
      <c r="G39" s="1"/>
      <c r="H39" s="1"/>
      <c r="I39" s="45"/>
      <c r="J39" s="1"/>
      <c r="K39" s="45"/>
      <c r="L39" s="1"/>
      <c r="M39" s="1"/>
      <c r="N39" s="1"/>
      <c r="O39" s="1"/>
    </row>
    <row r="40" spans="2:15" ht="12.75">
      <c r="D40" s="28"/>
      <c r="E40" s="18"/>
      <c r="F40" s="28"/>
      <c r="G40" s="1"/>
      <c r="H40" s="1"/>
      <c r="I40" s="45"/>
      <c r="J40" s="1"/>
      <c r="K40" s="45"/>
      <c r="L40" s="1"/>
      <c r="M40" s="1"/>
      <c r="N40" s="1"/>
      <c r="O40" s="1"/>
    </row>
    <row r="41" spans="2:15" ht="12.75">
      <c r="B41" s="88"/>
      <c r="D41" s="28"/>
      <c r="E41" s="28"/>
      <c r="F41" s="28"/>
      <c r="G41" s="1"/>
      <c r="H41" s="1"/>
      <c r="I41" s="45"/>
      <c r="J41" s="1"/>
      <c r="K41" s="45"/>
      <c r="L41" s="1"/>
      <c r="M41" s="1"/>
      <c r="N41" s="1"/>
      <c r="O41" s="1"/>
    </row>
    <row r="42" spans="2:15" ht="15">
      <c r="B42" s="37" t="s">
        <v>64</v>
      </c>
      <c r="C42" s="91"/>
      <c r="D42" s="28"/>
      <c r="E42" s="18" t="s">
        <v>62</v>
      </c>
      <c r="F42" s="28">
        <f>SUM(F40+F39)</f>
        <v>123525.00000000001</v>
      </c>
      <c r="G42" s="1"/>
      <c r="H42" s="60"/>
      <c r="I42" s="45"/>
      <c r="J42" s="1"/>
      <c r="K42" s="45"/>
      <c r="L42" s="1"/>
      <c r="M42" s="1"/>
      <c r="N42" s="1"/>
      <c r="O42" s="1"/>
    </row>
    <row r="43" spans="2:15" ht="15">
      <c r="B43" s="17" t="s">
        <v>65</v>
      </c>
      <c r="C43" s="56"/>
      <c r="D43" s="28"/>
      <c r="E43" s="28"/>
      <c r="F43" s="79">
        <f>ROUNDUP(F42, -2)</f>
        <v>123600</v>
      </c>
      <c r="G43" s="1"/>
      <c r="H43" s="1"/>
      <c r="I43" s="45"/>
      <c r="J43" s="1"/>
      <c r="K43" s="45"/>
      <c r="L43" s="1"/>
      <c r="M43" s="1"/>
      <c r="N43" s="1"/>
      <c r="O43" s="1"/>
    </row>
    <row r="44" spans="2:15" ht="15">
      <c r="B44" s="17" t="s">
        <v>66</v>
      </c>
      <c r="C44" s="56"/>
      <c r="D44" s="28"/>
      <c r="E44" s="28"/>
      <c r="F44" s="81">
        <f>F43+1000</f>
        <v>124600</v>
      </c>
      <c r="G44" s="74"/>
      <c r="H44" s="1"/>
      <c r="I44" s="80"/>
      <c r="J44" s="11"/>
      <c r="K44" s="45"/>
      <c r="L44" s="22"/>
      <c r="M44" s="11"/>
      <c r="N44" s="1"/>
      <c r="O44" s="1"/>
    </row>
    <row r="45" spans="2:15" ht="15">
      <c r="B45" s="56" t="s">
        <v>68</v>
      </c>
      <c r="C45" s="56"/>
      <c r="G45" s="1"/>
      <c r="H45" s="1"/>
      <c r="I45" s="45"/>
      <c r="J45" s="1"/>
      <c r="K45" s="45"/>
      <c r="L45" s="1"/>
      <c r="M45" s="1"/>
      <c r="N45" s="1"/>
      <c r="O45" s="1"/>
    </row>
    <row r="46" spans="2:15" ht="12.75">
      <c r="B46" s="84"/>
      <c r="G46" s="1"/>
      <c r="I46" s="45"/>
      <c r="J46" s="1"/>
      <c r="K46" s="45"/>
      <c r="L46" s="1"/>
      <c r="M46" s="1"/>
      <c r="N46" s="1"/>
      <c r="O46" s="1"/>
    </row>
    <row r="47" spans="2:15" ht="15">
      <c r="B47" s="47"/>
      <c r="C47" s="90"/>
      <c r="I47" s="2"/>
      <c r="K47" s="2"/>
    </row>
    <row r="48" spans="2:15" ht="15">
      <c r="B48" s="47"/>
      <c r="C48" s="90"/>
      <c r="I48" s="2"/>
      <c r="K48" s="2"/>
    </row>
    <row r="49" spans="1:11" ht="15">
      <c r="A49" s="94"/>
      <c r="B49" s="95"/>
      <c r="C49" s="96"/>
      <c r="D49" s="94"/>
      <c r="E49" s="94"/>
      <c r="F49" s="97"/>
      <c r="I49" s="92">
        <v>36089</v>
      </c>
      <c r="K49" s="2"/>
    </row>
    <row r="50" spans="1:11" ht="12.75">
      <c r="A50" s="94"/>
      <c r="B50" s="94"/>
      <c r="C50" s="94"/>
      <c r="D50" s="94"/>
      <c r="E50" s="94"/>
      <c r="F50" s="97"/>
      <c r="K50" s="2"/>
    </row>
    <row r="51" spans="1:11" ht="12.75">
      <c r="A51" s="94"/>
      <c r="B51" s="94"/>
      <c r="C51" s="94"/>
      <c r="D51" s="94"/>
      <c r="E51" s="94"/>
      <c r="F51" s="97"/>
      <c r="I51" s="19" t="s">
        <v>69</v>
      </c>
      <c r="K51" s="2"/>
    </row>
    <row r="52" spans="1:11" ht="12.75">
      <c r="A52" s="94"/>
      <c r="B52" s="98"/>
      <c r="C52" s="99"/>
      <c r="D52" s="94"/>
      <c r="E52" s="94"/>
      <c r="F52" s="97"/>
      <c r="I52" s="19" t="s">
        <v>70</v>
      </c>
      <c r="K52" s="2"/>
    </row>
    <row r="53" spans="1:11" ht="12.75">
      <c r="A53" s="94"/>
      <c r="B53" s="100"/>
      <c r="C53" s="100"/>
      <c r="D53" s="94"/>
      <c r="E53" s="94"/>
      <c r="F53" s="97"/>
      <c r="I53" s="19" t="s">
        <v>71</v>
      </c>
      <c r="K53" s="2"/>
    </row>
    <row r="54" spans="1:11" ht="12.75">
      <c r="A54" s="94"/>
      <c r="B54" s="99"/>
      <c r="C54" s="99"/>
      <c r="D54" s="94"/>
      <c r="E54" s="94"/>
      <c r="F54" s="97"/>
      <c r="I54" s="93">
        <v>35824</v>
      </c>
      <c r="K54" s="2"/>
    </row>
    <row r="55" spans="1:11" ht="12.75">
      <c r="A55" s="94"/>
      <c r="B55" s="99"/>
      <c r="C55" s="99"/>
      <c r="D55" s="94"/>
      <c r="E55" s="94"/>
      <c r="F55" s="97"/>
      <c r="I55" s="2"/>
      <c r="K55" s="2"/>
    </row>
    <row r="56" spans="1:11" ht="12.75">
      <c r="A56" s="94"/>
      <c r="B56" s="98"/>
      <c r="C56" s="99"/>
      <c r="D56" s="94"/>
      <c r="E56" s="94"/>
      <c r="F56" s="94"/>
      <c r="I56" s="2"/>
      <c r="K56" s="2"/>
    </row>
    <row r="57" spans="1:11" ht="12.75">
      <c r="A57" s="94"/>
      <c r="B57" s="99"/>
      <c r="C57" s="99"/>
      <c r="D57" s="94"/>
      <c r="E57" s="94"/>
      <c r="F57" s="94"/>
      <c r="I57" s="2"/>
      <c r="K57" s="2"/>
    </row>
    <row r="58" spans="1:11" ht="12.75">
      <c r="A58" s="94"/>
      <c r="B58" s="99"/>
      <c r="C58" s="99"/>
      <c r="D58" s="94"/>
      <c r="E58" s="94"/>
      <c r="F58" s="94"/>
      <c r="I58" s="2"/>
      <c r="K58" s="2"/>
    </row>
    <row r="59" spans="1:11" ht="12.75">
      <c r="A59" s="94"/>
      <c r="B59" s="94"/>
      <c r="C59" s="94"/>
      <c r="D59" s="94"/>
      <c r="E59" s="94"/>
      <c r="F59" s="94"/>
      <c r="I59" s="2"/>
      <c r="K59" s="2"/>
    </row>
    <row r="60" spans="1:11" ht="12.75">
      <c r="A60" s="94"/>
      <c r="B60" s="94"/>
      <c r="C60" s="94"/>
      <c r="D60" s="94"/>
      <c r="E60" s="94"/>
      <c r="F60" s="94"/>
      <c r="I60" s="2"/>
      <c r="K60" s="2"/>
    </row>
    <row r="61" spans="1:11" ht="12.75">
      <c r="A61" s="94"/>
      <c r="B61" s="94"/>
      <c r="C61" s="94"/>
      <c r="D61" s="94"/>
      <c r="E61" s="94"/>
      <c r="F61" s="94"/>
      <c r="I61" s="2"/>
      <c r="K61" s="2"/>
    </row>
    <row r="62" spans="1:11" ht="12.75">
      <c r="A62" s="94"/>
      <c r="B62" s="94"/>
      <c r="C62" s="94"/>
      <c r="D62" s="94"/>
      <c r="E62" s="94"/>
      <c r="F62" s="94"/>
      <c r="I62" s="2"/>
      <c r="K62" s="2"/>
    </row>
    <row r="63" spans="1:11" ht="12.75">
      <c r="A63" s="94"/>
      <c r="B63" s="94"/>
      <c r="C63" s="94"/>
      <c r="D63" s="94"/>
      <c r="E63" s="94"/>
      <c r="F63" s="94"/>
      <c r="I63" s="2"/>
      <c r="K63" s="2"/>
    </row>
    <row r="64" spans="1:11" ht="12.75">
      <c r="I64" s="2"/>
      <c r="K64" s="2"/>
    </row>
    <row r="65" spans="9:11" ht="12.75">
      <c r="I65" s="2"/>
      <c r="K65" s="2"/>
    </row>
    <row r="66" spans="9:11" ht="12.75">
      <c r="I66" s="2"/>
      <c r="K66" s="2"/>
    </row>
    <row r="67" spans="9:11" ht="12.75">
      <c r="I67" s="2"/>
      <c r="K67" s="2"/>
    </row>
    <row r="68" spans="9:11" ht="12.75">
      <c r="I68" s="2"/>
      <c r="K68" s="2"/>
    </row>
    <row r="69" spans="9:11" ht="12.75">
      <c r="I69" s="2"/>
      <c r="K69" s="2"/>
    </row>
    <row r="70" spans="9:11" ht="12.75">
      <c r="I70" s="2"/>
      <c r="K70" s="2"/>
    </row>
    <row r="71" spans="9:11" ht="12.75">
      <c r="I71" s="2"/>
      <c r="K71" s="2"/>
    </row>
    <row r="72" spans="9:11" ht="12.75">
      <c r="I72" s="2"/>
      <c r="K72" s="2"/>
    </row>
    <row r="73" spans="9:11" ht="12.75">
      <c r="I73" s="2"/>
      <c r="K73" s="2"/>
    </row>
    <row r="74" spans="9:11" ht="12.75">
      <c r="I74" s="2"/>
      <c r="K74" s="2"/>
    </row>
    <row r="75" spans="9:11" ht="12.75">
      <c r="I75" s="2"/>
      <c r="K75" s="2"/>
    </row>
    <row r="76" spans="9:11" ht="12.75">
      <c r="I76" s="2"/>
      <c r="K76" s="2"/>
    </row>
    <row r="77" spans="9:11" ht="12.75">
      <c r="I77" s="2"/>
      <c r="K77" s="2"/>
    </row>
    <row r="78" spans="9:11" ht="12.75">
      <c r="I78" s="2"/>
      <c r="K78" s="2"/>
    </row>
    <row r="79" spans="9:11" ht="12.75">
      <c r="I79" s="2"/>
      <c r="K79" s="2"/>
    </row>
    <row r="80" spans="9:11" ht="12.75">
      <c r="I80" s="2"/>
      <c r="K80" s="2"/>
    </row>
    <row r="81" spans="9:11" ht="12.75">
      <c r="I81" s="2"/>
      <c r="K81" s="2"/>
    </row>
    <row r="82" spans="9:11" ht="12.75">
      <c r="I82" s="2"/>
      <c r="K82" s="2"/>
    </row>
    <row r="83" spans="9:11" ht="12.75">
      <c r="I83" s="2"/>
      <c r="K83" s="2"/>
    </row>
    <row r="84" spans="9:11" ht="12.75">
      <c r="I84" s="2"/>
      <c r="K84" s="2"/>
    </row>
    <row r="85" spans="9:11" ht="12.75">
      <c r="I85" s="2"/>
      <c r="K85" s="2"/>
    </row>
    <row r="86" spans="9:11" ht="12.75">
      <c r="I86" s="2"/>
      <c r="K86" s="2"/>
    </row>
    <row r="87" spans="9:11" ht="12.75">
      <c r="I87" s="2"/>
      <c r="K87" s="2"/>
    </row>
    <row r="88" spans="9:11" ht="12.75">
      <c r="I88" s="2"/>
      <c r="K88" s="2"/>
    </row>
    <row r="89" spans="9:11" ht="12.75">
      <c r="I89" s="2"/>
      <c r="K89" s="2"/>
    </row>
    <row r="90" spans="9:11" ht="12.75">
      <c r="I90" s="2"/>
      <c r="K90" s="2"/>
    </row>
    <row r="91" spans="9:11" ht="12.75">
      <c r="I91" s="2"/>
      <c r="K91" s="2"/>
    </row>
    <row r="92" spans="9:11" ht="12.75">
      <c r="I92" s="2"/>
      <c r="K92" s="2"/>
    </row>
    <row r="93" spans="9:11" ht="12.75">
      <c r="I93" s="2"/>
      <c r="K93" s="2"/>
    </row>
    <row r="94" spans="9:11" ht="12.75">
      <c r="I94" s="2"/>
      <c r="K94" s="2"/>
    </row>
    <row r="95" spans="9:11" ht="12.75">
      <c r="I95" s="2"/>
      <c r="K95" s="2"/>
    </row>
    <row r="96" spans="9:11" ht="12.75">
      <c r="I96" s="2"/>
      <c r="K96" s="2"/>
    </row>
    <row r="97" spans="9:11" ht="12.75">
      <c r="I97" s="2"/>
      <c r="K97" s="2"/>
    </row>
    <row r="98" spans="9:11" ht="12.75">
      <c r="I98" s="2"/>
      <c r="K98" s="2"/>
    </row>
    <row r="99" spans="9:11" ht="12.75">
      <c r="I99" s="2"/>
      <c r="K99" s="2"/>
    </row>
    <row r="100" spans="9:11" ht="12.75">
      <c r="I100" s="2"/>
      <c r="K100" s="2"/>
    </row>
    <row r="101" spans="9:11" ht="12.75">
      <c r="I101" s="2"/>
      <c r="K101" s="2"/>
    </row>
    <row r="102" spans="9:11" ht="12.75">
      <c r="I102" s="2"/>
      <c r="K102" s="2"/>
    </row>
    <row r="103" spans="9:11" ht="12.75">
      <c r="I103" s="2"/>
      <c r="K103" s="2"/>
    </row>
    <row r="104" spans="9:11" ht="12.75">
      <c r="I104" s="2"/>
      <c r="K104" s="2"/>
    </row>
    <row r="105" spans="9:11" ht="12.75">
      <c r="I105" s="2"/>
      <c r="K105" s="2"/>
    </row>
    <row r="106" spans="9:11" ht="12.75">
      <c r="I106" s="2"/>
      <c r="K106" s="2"/>
    </row>
    <row r="107" spans="9:11" ht="12.75">
      <c r="I107" s="2"/>
      <c r="K107" s="2"/>
    </row>
    <row r="108" spans="9:11" ht="12.75">
      <c r="I108" s="2"/>
      <c r="K108" s="2"/>
    </row>
    <row r="109" spans="9:11" ht="12.75">
      <c r="I109" s="2"/>
      <c r="K109" s="2"/>
    </row>
    <row r="110" spans="9:11" ht="12.75">
      <c r="I110" s="2"/>
      <c r="K110" s="2"/>
    </row>
    <row r="111" spans="9:11" ht="12.75">
      <c r="I111" s="2"/>
      <c r="K111" s="2"/>
    </row>
    <row r="112" spans="9:11" ht="12.75">
      <c r="I112" s="2"/>
      <c r="K112" s="2"/>
    </row>
    <row r="113" spans="9:11" ht="12.75">
      <c r="I113" s="2"/>
      <c r="K113" s="2"/>
    </row>
    <row r="114" spans="9:11" ht="12.75">
      <c r="I114" s="2"/>
      <c r="K114" s="2"/>
    </row>
    <row r="115" spans="9:11" ht="12.75">
      <c r="I115" s="2"/>
      <c r="K115" s="2"/>
    </row>
    <row r="116" spans="9:11" ht="12.75">
      <c r="I116" s="2"/>
      <c r="K116" s="2"/>
    </row>
    <row r="117" spans="9:11" ht="12.75">
      <c r="I117" s="2"/>
      <c r="K117" s="2"/>
    </row>
    <row r="118" spans="9:11" ht="12.75">
      <c r="I118" s="2"/>
      <c r="K118" s="2"/>
    </row>
    <row r="119" spans="9:11" ht="12.75">
      <c r="I119" s="2"/>
      <c r="K119" s="2"/>
    </row>
    <row r="120" spans="9:11" ht="12.75">
      <c r="I120" s="2"/>
      <c r="K120" s="2"/>
    </row>
    <row r="121" spans="9:11" ht="12.75">
      <c r="I121" s="2"/>
      <c r="K121" s="2"/>
    </row>
    <row r="122" spans="9:11" ht="12.75">
      <c r="I122" s="2"/>
      <c r="K122" s="2"/>
    </row>
    <row r="123" spans="9:11" ht="12.75">
      <c r="I123" s="2"/>
      <c r="K123" s="2"/>
    </row>
    <row r="124" spans="9:11" ht="12.75">
      <c r="I124" s="2"/>
      <c r="K124" s="2"/>
    </row>
    <row r="125" spans="9:11" ht="12.75">
      <c r="I125" s="2"/>
      <c r="K125" s="2"/>
    </row>
    <row r="126" spans="9:11" ht="12.75">
      <c r="I126" s="2"/>
      <c r="K126" s="2"/>
    </row>
    <row r="127" spans="9:11" ht="12.75">
      <c r="I127" s="2"/>
      <c r="K127" s="2"/>
    </row>
    <row r="128" spans="9:11" ht="12.75">
      <c r="I128" s="2"/>
      <c r="K128" s="2"/>
    </row>
    <row r="129" spans="9:11" ht="12.75">
      <c r="I129" s="2"/>
      <c r="K129" s="2"/>
    </row>
    <row r="130" spans="9:11" ht="12.75">
      <c r="I130" s="2"/>
      <c r="K130" s="2"/>
    </row>
    <row r="131" spans="9:11" ht="12.75">
      <c r="I131" s="2"/>
      <c r="K131" s="2"/>
    </row>
    <row r="132" spans="9:11" ht="12.75">
      <c r="I132" s="2"/>
      <c r="K132" s="2"/>
    </row>
    <row r="133" spans="9:11" ht="12.75">
      <c r="I133" s="2"/>
      <c r="K133" s="2"/>
    </row>
    <row r="134" spans="9:11" ht="12.75">
      <c r="I134" s="2"/>
      <c r="K134" s="2"/>
    </row>
    <row r="135" spans="9:11" ht="12.75">
      <c r="I135" s="2"/>
      <c r="K135" s="2"/>
    </row>
    <row r="136" spans="9:11" ht="12.75">
      <c r="I136" s="2"/>
      <c r="K136" s="2"/>
    </row>
    <row r="137" spans="9:11" ht="12.75">
      <c r="I137" s="2"/>
      <c r="K137" s="2"/>
    </row>
    <row r="138" spans="9:11" ht="12.75">
      <c r="I138" s="2"/>
      <c r="K138" s="2"/>
    </row>
    <row r="139" spans="9:11" ht="12.75">
      <c r="I139" s="2"/>
      <c r="K139" s="2"/>
    </row>
    <row r="140" spans="9:11" ht="12.75">
      <c r="I140" s="2"/>
      <c r="K140" s="2"/>
    </row>
    <row r="141" spans="9:11" ht="12.75">
      <c r="I141" s="2"/>
      <c r="K141" s="2"/>
    </row>
    <row r="142" spans="9:11" ht="12.75">
      <c r="I142" s="2"/>
      <c r="K142" s="2"/>
    </row>
    <row r="143" spans="9:11" ht="12.75">
      <c r="I143" s="2"/>
      <c r="K143" s="2"/>
    </row>
    <row r="144" spans="9:11" ht="12.75">
      <c r="I144" s="2"/>
      <c r="K144" s="2"/>
    </row>
    <row r="145" spans="9:11" ht="12.75">
      <c r="I145" s="2"/>
      <c r="K145" s="2"/>
    </row>
    <row r="146" spans="9:11" ht="12.75">
      <c r="I146" s="2"/>
      <c r="K146" s="2"/>
    </row>
    <row r="147" spans="9:11" ht="12.75">
      <c r="I147" s="2"/>
      <c r="K147" s="2"/>
    </row>
    <row r="148" spans="9:11" ht="12.75">
      <c r="I148" s="2"/>
      <c r="K148" s="2"/>
    </row>
    <row r="149" spans="9:11" ht="12.75">
      <c r="I149" s="2"/>
      <c r="K149" s="2"/>
    </row>
    <row r="150" spans="9:11" ht="12.75">
      <c r="I150" s="2"/>
      <c r="K150" s="2"/>
    </row>
    <row r="151" spans="9:11" ht="12.75">
      <c r="I151" s="2"/>
      <c r="K151" s="2"/>
    </row>
    <row r="152" spans="9:11" ht="12.75">
      <c r="I152" s="2"/>
      <c r="K152" s="2"/>
    </row>
    <row r="153" spans="9:11" ht="12.75">
      <c r="I153" s="2"/>
      <c r="K153" s="2"/>
    </row>
    <row r="154" spans="9:11" ht="12.75">
      <c r="I154" s="2"/>
      <c r="K154" s="2"/>
    </row>
    <row r="155" spans="9:11" ht="12.75">
      <c r="I155" s="2"/>
      <c r="K155" s="2"/>
    </row>
    <row r="156" spans="9:11" ht="12.75">
      <c r="I156" s="2"/>
      <c r="K156" s="2"/>
    </row>
    <row r="157" spans="9:11" ht="12.75">
      <c r="I157" s="2"/>
      <c r="K157" s="2"/>
    </row>
    <row r="158" spans="9:11" ht="12.75">
      <c r="I158" s="2"/>
      <c r="K158" s="2"/>
    </row>
    <row r="159" spans="9:11" ht="12.75">
      <c r="I159" s="2"/>
      <c r="K159" s="2"/>
    </row>
    <row r="160" spans="9:11" ht="12.75">
      <c r="I160" s="2"/>
      <c r="K160" s="2"/>
    </row>
    <row r="161" spans="9:11" ht="12.75">
      <c r="I161" s="2"/>
      <c r="K161" s="2"/>
    </row>
    <row r="162" spans="9:11" ht="12.75">
      <c r="I162" s="2"/>
      <c r="K162" s="2"/>
    </row>
    <row r="163" spans="9:11" ht="12.75">
      <c r="I163" s="2"/>
      <c r="K163" s="2"/>
    </row>
    <row r="164" spans="9:11" ht="12.75">
      <c r="I164" s="2"/>
      <c r="K164" s="2"/>
    </row>
    <row r="165" spans="9:11" ht="12.75">
      <c r="I165" s="2"/>
      <c r="K165" s="2"/>
    </row>
    <row r="166" spans="9:11" ht="12.75">
      <c r="I166" s="2"/>
      <c r="K166" s="2"/>
    </row>
    <row r="167" spans="9:11" ht="12.75">
      <c r="I167" s="2"/>
      <c r="K167" s="2"/>
    </row>
    <row r="168" spans="9:11" ht="12.75">
      <c r="I168" s="2"/>
      <c r="K168" s="2"/>
    </row>
    <row r="169" spans="9:11" ht="12.75">
      <c r="I169" s="2"/>
      <c r="K169" s="2"/>
    </row>
    <row r="170" spans="9:11" ht="12.75">
      <c r="I170" s="2"/>
      <c r="K170" s="2"/>
    </row>
    <row r="171" spans="9:11" ht="12.75">
      <c r="I171" s="2"/>
      <c r="K171" s="2"/>
    </row>
    <row r="172" spans="9:11" ht="12.75">
      <c r="I172" s="2"/>
      <c r="K172" s="2"/>
    </row>
    <row r="173" spans="9:11" ht="12.75">
      <c r="I173" s="2"/>
      <c r="K173" s="2"/>
    </row>
    <row r="174" spans="9:11" ht="12.75">
      <c r="I174" s="2"/>
      <c r="K174" s="2"/>
    </row>
    <row r="175" spans="9:11" ht="12.75">
      <c r="I175" s="2"/>
      <c r="K175" s="2"/>
    </row>
    <row r="176" spans="9:11" ht="12.75">
      <c r="I176" s="2"/>
      <c r="K176" s="2"/>
    </row>
    <row r="177" spans="9:11" ht="12.75">
      <c r="I177" s="2"/>
      <c r="K177" s="2"/>
    </row>
    <row r="178" spans="9:11" ht="12.75">
      <c r="I178" s="2"/>
      <c r="K178" s="2"/>
    </row>
    <row r="179" spans="9:11" ht="12.75">
      <c r="I179" s="2"/>
      <c r="K179" s="2"/>
    </row>
    <row r="180" spans="9:11" ht="12.75">
      <c r="I180" s="2"/>
      <c r="K180" s="2"/>
    </row>
    <row r="181" spans="9:11" ht="12.75">
      <c r="I181" s="2"/>
      <c r="K181" s="2"/>
    </row>
    <row r="182" spans="9:11" ht="12.75">
      <c r="I182" s="2"/>
      <c r="K182" s="2"/>
    </row>
    <row r="183" spans="9:11" ht="12.75">
      <c r="I183" s="2"/>
      <c r="K183" s="2"/>
    </row>
    <row r="184" spans="9:11" ht="12.75">
      <c r="I184" s="2"/>
      <c r="K184" s="2"/>
    </row>
    <row r="185" spans="9:11" ht="12.75">
      <c r="I185" s="2"/>
      <c r="K185" s="2"/>
    </row>
    <row r="186" spans="9:11" ht="12.75">
      <c r="I186" s="2"/>
      <c r="K186" s="2"/>
    </row>
    <row r="187" spans="9:11" ht="12.75">
      <c r="I187" s="2"/>
      <c r="K187" s="2"/>
    </row>
    <row r="188" spans="9:11" ht="12.75">
      <c r="I188" s="2"/>
      <c r="K188" s="2"/>
    </row>
    <row r="189" spans="9:11" ht="12.75">
      <c r="I189" s="2"/>
      <c r="K189" s="2"/>
    </row>
    <row r="190" spans="9:11" ht="12.75">
      <c r="I190" s="2"/>
      <c r="K190" s="2"/>
    </row>
    <row r="191" spans="9:11" ht="12.75">
      <c r="I191" s="2"/>
      <c r="K191" s="2"/>
    </row>
    <row r="192" spans="9:11" ht="12.75">
      <c r="I192" s="2"/>
      <c r="K192" s="2"/>
    </row>
    <row r="193" spans="2:11" ht="12.75">
      <c r="I193" s="2"/>
      <c r="K193" s="2"/>
    </row>
    <row r="194" spans="2:11" ht="12.75">
      <c r="I194" s="2"/>
      <c r="K194" s="2"/>
    </row>
    <row r="195" spans="2:11" ht="12.75">
      <c r="I195" s="2"/>
      <c r="K195" s="2"/>
    </row>
    <row r="196" spans="2:11" ht="12.75">
      <c r="I196" s="2"/>
      <c r="K196" s="2"/>
    </row>
    <row r="197" spans="2:11" ht="12.75">
      <c r="I197" s="2"/>
      <c r="K197" s="2"/>
    </row>
    <row r="198" spans="2:11" ht="12.75">
      <c r="I198" s="2"/>
      <c r="K198" s="2"/>
    </row>
    <row r="199" spans="2:11" ht="12.75">
      <c r="I199" s="2"/>
      <c r="K199" s="2"/>
    </row>
    <row r="200" spans="2:11" ht="12.75">
      <c r="I200" s="2"/>
      <c r="K200" s="2"/>
    </row>
    <row r="201" spans="2:11" ht="12.75">
      <c r="I201" s="2"/>
      <c r="K201" s="2"/>
    </row>
    <row r="202" spans="2:11" ht="12.75">
      <c r="I202" s="2"/>
      <c r="K202" s="2"/>
    </row>
    <row r="203" spans="2:11" ht="12.75">
      <c r="B203" s="19" t="s">
        <v>50</v>
      </c>
      <c r="I203" s="2"/>
      <c r="K203" s="2"/>
    </row>
    <row r="204" spans="2:11" ht="12.75">
      <c r="I204" s="2"/>
      <c r="K204" s="2"/>
    </row>
    <row r="205" spans="2:11" ht="12.75">
      <c r="I205" s="2"/>
      <c r="K205" s="2"/>
    </row>
    <row r="206" spans="2:11" ht="12.75">
      <c r="I206" s="2"/>
      <c r="K206" s="2"/>
    </row>
    <row r="207" spans="2:11" ht="12.75">
      <c r="I207" s="2"/>
      <c r="K207" s="2"/>
    </row>
    <row r="208" spans="2:11" ht="12.75">
      <c r="I208" s="2"/>
      <c r="K208" s="2"/>
    </row>
    <row r="209" spans="9:11" ht="12.75">
      <c r="I209" s="2"/>
      <c r="K209" s="2"/>
    </row>
    <row r="210" spans="9:11" ht="12.75">
      <c r="I210" s="2"/>
      <c r="K210" s="2"/>
    </row>
    <row r="211" spans="9:11" ht="12.75">
      <c r="I211" s="2"/>
      <c r="K211" s="2"/>
    </row>
    <row r="212" spans="9:11" ht="12.75">
      <c r="I212" s="2"/>
      <c r="K212" s="2"/>
    </row>
    <row r="213" spans="9:11" ht="12.75">
      <c r="I213" s="2"/>
      <c r="K213" s="2"/>
    </row>
    <row r="214" spans="9:11" ht="12.75">
      <c r="I214" s="2"/>
      <c r="K214" s="2"/>
    </row>
    <row r="215" spans="9:11" ht="12.75">
      <c r="I215" s="2"/>
      <c r="K215" s="2"/>
    </row>
    <row r="216" spans="9:11" ht="12.75">
      <c r="I216" s="2"/>
      <c r="K216" s="2"/>
    </row>
    <row r="217" spans="9:11" ht="12.75">
      <c r="I217" s="2"/>
      <c r="K217" s="2"/>
    </row>
    <row r="218" spans="9:11" ht="12.75">
      <c r="I218" s="2"/>
      <c r="K218" s="2"/>
    </row>
    <row r="219" spans="9:11" ht="12.75">
      <c r="I219" s="2"/>
      <c r="K219" s="2"/>
    </row>
    <row r="220" spans="9:11" ht="12.75">
      <c r="I220" s="2"/>
      <c r="K220" s="2"/>
    </row>
    <row r="221" spans="9:11" ht="12.75">
      <c r="I221" s="2"/>
      <c r="K221" s="2"/>
    </row>
    <row r="222" spans="9:11" ht="12.75">
      <c r="I222" s="2"/>
      <c r="K222" s="2"/>
    </row>
    <row r="223" spans="9:11" ht="12.75">
      <c r="I223" s="2"/>
      <c r="K223" s="2"/>
    </row>
    <row r="224" spans="9:11" ht="12.75">
      <c r="I224" s="2"/>
      <c r="K224" s="2"/>
    </row>
    <row r="225" spans="9:11" ht="12.75">
      <c r="I225" s="2"/>
      <c r="K225" s="2"/>
    </row>
    <row r="226" spans="9:11" ht="12.75">
      <c r="I226" s="2"/>
      <c r="K226" s="2"/>
    </row>
    <row r="227" spans="9:11" ht="12.75">
      <c r="I227" s="2"/>
      <c r="K227" s="2"/>
    </row>
    <row r="228" spans="9:11" ht="12.75">
      <c r="I228" s="2"/>
      <c r="K228" s="2"/>
    </row>
    <row r="229" spans="9:11" ht="12.75">
      <c r="I229" s="2"/>
      <c r="K229" s="2"/>
    </row>
    <row r="230" spans="9:11" ht="12.75">
      <c r="I230" s="2"/>
      <c r="K230" s="2"/>
    </row>
    <row r="231" spans="9:11" ht="12.75">
      <c r="I231" s="2"/>
      <c r="K231" s="2"/>
    </row>
    <row r="232" spans="9:11" ht="12.75">
      <c r="I232" s="2"/>
      <c r="K232" s="2"/>
    </row>
    <row r="233" spans="9:11" ht="12.75">
      <c r="I233" s="2"/>
      <c r="K233" s="2"/>
    </row>
    <row r="234" spans="9:11" ht="12.75">
      <c r="I234" s="2"/>
      <c r="K234" s="2"/>
    </row>
    <row r="235" spans="9:11" ht="12.75">
      <c r="I235" s="2"/>
      <c r="K235" s="2"/>
    </row>
    <row r="236" spans="9:11" ht="12.75">
      <c r="I236" s="2"/>
      <c r="K236" s="2"/>
    </row>
    <row r="237" spans="9:11" ht="12.75">
      <c r="I237" s="2"/>
      <c r="K237" s="2"/>
    </row>
    <row r="238" spans="9:11" ht="12.75">
      <c r="I238" s="2"/>
      <c r="K238" s="2"/>
    </row>
    <row r="239" spans="9:11" ht="12.75">
      <c r="I239" s="2"/>
      <c r="K239" s="2"/>
    </row>
    <row r="240" spans="9:11" ht="12.75">
      <c r="I240" s="2"/>
      <c r="K240" s="2"/>
    </row>
    <row r="241" spans="9:11" ht="12.75">
      <c r="I241" s="2"/>
      <c r="K241" s="2"/>
    </row>
    <row r="242" spans="9:11" ht="12.75">
      <c r="I242" s="2"/>
      <c r="K242" s="2"/>
    </row>
    <row r="243" spans="9:11" ht="12.75">
      <c r="I243" s="2"/>
      <c r="K243" s="2"/>
    </row>
    <row r="244" spans="9:11" ht="12.75">
      <c r="I244" s="2"/>
      <c r="K244" s="2"/>
    </row>
    <row r="245" spans="9:11" ht="12.75">
      <c r="I245" s="2"/>
      <c r="K245" s="2"/>
    </row>
    <row r="246" spans="9:11" ht="12.75">
      <c r="I246" s="2"/>
      <c r="K246" s="2"/>
    </row>
    <row r="247" spans="9:11" ht="12.75">
      <c r="I247" s="2"/>
      <c r="K247" s="2"/>
    </row>
    <row r="248" spans="9:11" ht="12.75">
      <c r="I248" s="2"/>
      <c r="K248" s="2"/>
    </row>
    <row r="249" spans="9:11" ht="12.75">
      <c r="I249" s="2"/>
      <c r="K249" s="2"/>
    </row>
    <row r="250" spans="9:11" ht="12.75">
      <c r="I250" s="2"/>
      <c r="K250" s="2"/>
    </row>
    <row r="251" spans="9:11" ht="12.75">
      <c r="I251" s="2"/>
      <c r="K251" s="2"/>
    </row>
    <row r="252" spans="9:11" ht="12.75">
      <c r="I252" s="2"/>
      <c r="K252" s="2"/>
    </row>
    <row r="253" spans="9:11" ht="12.75">
      <c r="I253" s="2"/>
      <c r="K253" s="2"/>
    </row>
    <row r="254" spans="9:11" ht="12.75">
      <c r="I254" s="2"/>
      <c r="K254" s="2"/>
    </row>
    <row r="255" spans="9:11" ht="12.75">
      <c r="I255" s="2"/>
      <c r="K255" s="2"/>
    </row>
    <row r="256" spans="9:11" ht="12.75">
      <c r="I256" s="2"/>
      <c r="K256" s="2"/>
    </row>
    <row r="257" spans="9:11" ht="12.75">
      <c r="I257" s="2"/>
      <c r="K257" s="2"/>
    </row>
    <row r="258" spans="9:11" ht="12.75">
      <c r="I258" s="2"/>
      <c r="K258" s="2"/>
    </row>
    <row r="259" spans="9:11" ht="12.75">
      <c r="I259" s="2"/>
      <c r="K259" s="2"/>
    </row>
    <row r="260" spans="9:11" ht="12.75">
      <c r="I260" s="2"/>
      <c r="K260" s="2"/>
    </row>
    <row r="261" spans="9:11" ht="12.75">
      <c r="I261" s="2"/>
      <c r="K261" s="2"/>
    </row>
    <row r="262" spans="9:11" ht="12.75">
      <c r="I262" s="2"/>
      <c r="K262" s="2"/>
    </row>
    <row r="263" spans="9:11" ht="12.75">
      <c r="I263" s="2"/>
      <c r="K263" s="2"/>
    </row>
    <row r="264" spans="9:11" ht="12.75">
      <c r="I264" s="2"/>
      <c r="K264" s="2"/>
    </row>
    <row r="265" spans="9:11" ht="12.75">
      <c r="I265" s="2"/>
      <c r="K265" s="2"/>
    </row>
    <row r="266" spans="9:11" ht="12.75">
      <c r="I266" s="2"/>
      <c r="K266" s="2"/>
    </row>
    <row r="267" spans="9:11" ht="12.75">
      <c r="I267" s="2"/>
      <c r="K267" s="2"/>
    </row>
    <row r="268" spans="9:11" ht="12.75">
      <c r="I268" s="2"/>
      <c r="K268" s="2"/>
    </row>
    <row r="269" spans="9:11" ht="12.75">
      <c r="I269" s="2"/>
      <c r="K269" s="2"/>
    </row>
    <row r="270" spans="9:11" ht="12.75">
      <c r="I270" s="2"/>
      <c r="K270" s="2"/>
    </row>
    <row r="271" spans="9:11" ht="12.75">
      <c r="I271" s="2"/>
      <c r="K271" s="2"/>
    </row>
    <row r="272" spans="9:11" ht="12.75">
      <c r="I272" s="2"/>
      <c r="K272" s="2"/>
    </row>
    <row r="273" spans="9:11" ht="12.75">
      <c r="I273" s="2"/>
      <c r="K273" s="2"/>
    </row>
    <row r="274" spans="9:11" ht="12.75">
      <c r="I274" s="2"/>
      <c r="K274" s="2"/>
    </row>
    <row r="275" spans="9:11" ht="12.75">
      <c r="I275" s="2"/>
      <c r="K275" s="2"/>
    </row>
    <row r="276" spans="9:11" ht="12.75">
      <c r="I276" s="2"/>
      <c r="K276" s="2"/>
    </row>
    <row r="277" spans="9:11" ht="12.75">
      <c r="I277" s="2"/>
      <c r="K277" s="2"/>
    </row>
    <row r="278" spans="9:11" ht="12.75">
      <c r="I278" s="2"/>
      <c r="K278" s="2"/>
    </row>
    <row r="279" spans="9:11" ht="12.75">
      <c r="I279" s="2"/>
      <c r="K279" s="2"/>
    </row>
    <row r="280" spans="9:11" ht="12.75">
      <c r="I280" s="2"/>
      <c r="K280" s="2"/>
    </row>
    <row r="281" spans="9:11" ht="12.75">
      <c r="I281" s="2"/>
      <c r="K281" s="2"/>
    </row>
    <row r="282" spans="9:11" ht="12.75">
      <c r="I282" s="2"/>
      <c r="K282" s="2"/>
    </row>
    <row r="283" spans="9:11" ht="12.75">
      <c r="I283" s="2"/>
      <c r="K283" s="2"/>
    </row>
    <row r="284" spans="9:11" ht="12.75">
      <c r="I284" s="2"/>
      <c r="K284" s="2"/>
    </row>
    <row r="285" spans="9:11" ht="12.75">
      <c r="I285" s="2"/>
      <c r="K285" s="2"/>
    </row>
    <row r="286" spans="9:11" ht="12.75">
      <c r="I286" s="2"/>
      <c r="K286" s="2"/>
    </row>
    <row r="287" spans="9:11" ht="12.75">
      <c r="I287" s="2"/>
      <c r="K287" s="2"/>
    </row>
    <row r="288" spans="9:11" ht="12.75">
      <c r="I288" s="2"/>
      <c r="K288" s="2"/>
    </row>
    <row r="289" spans="9:11" ht="12.75">
      <c r="I289" s="2"/>
      <c r="K289" s="2"/>
    </row>
    <row r="290" spans="9:11" ht="12.75">
      <c r="I290" s="2"/>
      <c r="K290" s="2"/>
    </row>
    <row r="291" spans="9:11" ht="12.75">
      <c r="I291" s="2"/>
      <c r="K291" s="2"/>
    </row>
    <row r="292" spans="9:11" ht="12.75">
      <c r="I292" s="2"/>
      <c r="K292" s="2"/>
    </row>
    <row r="293" spans="9:11" ht="12.75">
      <c r="I293" s="2"/>
      <c r="K293" s="2"/>
    </row>
    <row r="294" spans="9:11" ht="12.75">
      <c r="I294" s="2"/>
      <c r="K294" s="2"/>
    </row>
    <row r="295" spans="9:11" ht="12.75">
      <c r="I295" s="2"/>
      <c r="K295" s="2"/>
    </row>
    <row r="296" spans="9:11" ht="12.75">
      <c r="I296" s="2"/>
      <c r="K296" s="2"/>
    </row>
    <row r="297" spans="9:11" ht="12.75">
      <c r="I297" s="2"/>
      <c r="K297" s="2"/>
    </row>
    <row r="298" spans="9:11" ht="12.75">
      <c r="I298" s="2"/>
      <c r="K298" s="2"/>
    </row>
    <row r="299" spans="9:11" ht="12.75">
      <c r="I299" s="2"/>
      <c r="K299" s="2"/>
    </row>
    <row r="300" spans="9:11" ht="12.75">
      <c r="I300" s="2"/>
      <c r="K300" s="2"/>
    </row>
    <row r="301" spans="9:11" ht="12.75">
      <c r="I301" s="2"/>
      <c r="K301" s="2"/>
    </row>
    <row r="302" spans="9:11" ht="12.75">
      <c r="I302" s="2"/>
      <c r="K302" s="2"/>
    </row>
    <row r="303" spans="9:11" ht="12.75">
      <c r="I303" s="2"/>
      <c r="K303" s="2"/>
    </row>
    <row r="304" spans="9:11" ht="12.75">
      <c r="I304" s="2"/>
      <c r="K304" s="2"/>
    </row>
    <row r="305" spans="9:11" ht="12.75">
      <c r="I305" s="2"/>
      <c r="K305" s="2"/>
    </row>
    <row r="306" spans="9:11" ht="12.75">
      <c r="I306" s="2"/>
      <c r="K306" s="2"/>
    </row>
    <row r="307" spans="9:11" ht="12.75">
      <c r="I307" s="2"/>
      <c r="K307" s="2"/>
    </row>
    <row r="308" spans="9:11" ht="12.75">
      <c r="I308" s="2"/>
      <c r="K308" s="2"/>
    </row>
    <row r="309" spans="9:11" ht="12.75">
      <c r="I309" s="2"/>
      <c r="K309" s="2"/>
    </row>
    <row r="310" spans="9:11" ht="12.75">
      <c r="I310" s="2"/>
      <c r="K310" s="2"/>
    </row>
    <row r="311" spans="9:11" ht="12.75">
      <c r="I311" s="2"/>
      <c r="K311" s="2"/>
    </row>
    <row r="312" spans="9:11" ht="12.75">
      <c r="I312" s="2"/>
      <c r="K312" s="2"/>
    </row>
    <row r="313" spans="9:11" ht="12.75">
      <c r="I313" s="2"/>
      <c r="K313" s="2"/>
    </row>
    <row r="314" spans="9:11" ht="12.75">
      <c r="I314" s="2"/>
      <c r="K314" s="2"/>
    </row>
    <row r="315" spans="9:11" ht="12.75">
      <c r="I315" s="2"/>
      <c r="K315" s="2"/>
    </row>
    <row r="316" spans="9:11" ht="12.75">
      <c r="I316" s="2"/>
      <c r="K316" s="2"/>
    </row>
    <row r="317" spans="9:11" ht="12.75">
      <c r="I317" s="2"/>
      <c r="K317" s="2"/>
    </row>
    <row r="318" spans="9:11" ht="12.75">
      <c r="I318" s="2"/>
      <c r="K318" s="2"/>
    </row>
    <row r="319" spans="9:11" ht="12.75">
      <c r="I319" s="2"/>
      <c r="K319" s="2"/>
    </row>
    <row r="320" spans="9:11" ht="12.75">
      <c r="I320" s="2"/>
      <c r="K320" s="2"/>
    </row>
    <row r="321" spans="9:11" ht="12.75">
      <c r="I321" s="2"/>
      <c r="K321" s="2"/>
    </row>
    <row r="322" spans="9:11" ht="12.75">
      <c r="I322" s="2"/>
      <c r="K322" s="2"/>
    </row>
    <row r="323" spans="9:11" ht="12.75">
      <c r="I323" s="2"/>
      <c r="K323" s="2"/>
    </row>
    <row r="324" spans="9:11" ht="12.75">
      <c r="I324" s="2"/>
      <c r="K324" s="2"/>
    </row>
    <row r="325" spans="9:11" ht="12.75">
      <c r="I325" s="2"/>
      <c r="K325" s="2"/>
    </row>
    <row r="326" spans="9:11" ht="12.75">
      <c r="I326" s="2"/>
      <c r="K326" s="2"/>
    </row>
    <row r="327" spans="9:11" ht="12.75">
      <c r="I327" s="2"/>
      <c r="K327" s="2"/>
    </row>
    <row r="328" spans="9:11" ht="12.75">
      <c r="I328" s="2"/>
      <c r="K328" s="2"/>
    </row>
    <row r="329" spans="9:11" ht="12.75">
      <c r="I329" s="2"/>
      <c r="K329" s="2"/>
    </row>
    <row r="330" spans="9:11" ht="12.75">
      <c r="I330" s="2"/>
      <c r="K330" s="2"/>
    </row>
    <row r="331" spans="9:11" ht="12.75">
      <c r="I331" s="2"/>
      <c r="K331" s="2"/>
    </row>
    <row r="332" spans="9:11" ht="12.75">
      <c r="I332" s="2"/>
      <c r="K332" s="2"/>
    </row>
    <row r="333" spans="9:11" ht="12.75">
      <c r="I333" s="2"/>
      <c r="K333" s="2"/>
    </row>
    <row r="334" spans="9:11" ht="12.75">
      <c r="I334" s="2"/>
      <c r="K334" s="2"/>
    </row>
    <row r="335" spans="9:11" ht="12.75">
      <c r="I335" s="2"/>
      <c r="K335" s="2"/>
    </row>
    <row r="336" spans="9:11" ht="12.75">
      <c r="I336" s="2"/>
      <c r="K336" s="2"/>
    </row>
    <row r="337" spans="9:11" ht="12.75">
      <c r="I337" s="2"/>
      <c r="K337" s="2"/>
    </row>
    <row r="338" spans="9:11" ht="12.75">
      <c r="I338" s="2"/>
      <c r="K338" s="2"/>
    </row>
    <row r="339" spans="9:11" ht="12.75">
      <c r="I339" s="2"/>
      <c r="K339" s="2"/>
    </row>
    <row r="340" spans="9:11" ht="12.75">
      <c r="I340" s="2"/>
      <c r="K340" s="2"/>
    </row>
    <row r="341" spans="9:11" ht="12.75">
      <c r="I341" s="2"/>
      <c r="K341" s="2"/>
    </row>
    <row r="342" spans="9:11" ht="12.75">
      <c r="I342" s="2"/>
      <c r="K342" s="2"/>
    </row>
    <row r="343" spans="9:11" ht="12.75">
      <c r="I343" s="2"/>
      <c r="K343" s="2"/>
    </row>
    <row r="344" spans="9:11" ht="12.75">
      <c r="I344" s="2"/>
      <c r="K344" s="2"/>
    </row>
    <row r="345" spans="9:11" ht="12.75">
      <c r="I345" s="2"/>
      <c r="K345" s="2"/>
    </row>
    <row r="346" spans="9:11" ht="12.75">
      <c r="I346" s="2"/>
      <c r="K346" s="2"/>
    </row>
    <row r="347" spans="9:11" ht="12.75">
      <c r="I347" s="2"/>
      <c r="K347" s="2"/>
    </row>
    <row r="348" spans="9:11" ht="12.75">
      <c r="I348" s="2"/>
      <c r="K348" s="2"/>
    </row>
    <row r="349" spans="9:11" ht="12.75">
      <c r="I349" s="2"/>
      <c r="K349" s="2"/>
    </row>
    <row r="350" spans="9:11" ht="12.75">
      <c r="I350" s="2"/>
      <c r="K350" s="2"/>
    </row>
    <row r="351" spans="9:11" ht="12.75">
      <c r="I351" s="2"/>
      <c r="K351" s="2"/>
    </row>
    <row r="352" spans="9:11" ht="12.75">
      <c r="I352" s="2"/>
      <c r="K352" s="2"/>
    </row>
    <row r="353" spans="9:11" ht="12.75">
      <c r="I353" s="2"/>
      <c r="K353" s="2"/>
    </row>
    <row r="354" spans="9:11" ht="12.75">
      <c r="I354" s="2"/>
      <c r="K354" s="2"/>
    </row>
    <row r="355" spans="9:11" ht="12.75">
      <c r="I355" s="2"/>
      <c r="K355" s="2"/>
    </row>
    <row r="356" spans="9:11" ht="12.75">
      <c r="I356" s="2"/>
      <c r="K356" s="2"/>
    </row>
    <row r="357" spans="9:11" ht="12.75">
      <c r="I357" s="2"/>
      <c r="K357" s="2"/>
    </row>
    <row r="358" spans="9:11" ht="12.75">
      <c r="I358" s="2"/>
      <c r="K358" s="2"/>
    </row>
    <row r="359" spans="9:11" ht="12.75">
      <c r="I359" s="2"/>
      <c r="K359" s="2"/>
    </row>
    <row r="360" spans="9:11" ht="12.75">
      <c r="I360" s="2"/>
      <c r="K360" s="2"/>
    </row>
    <row r="361" spans="9:11" ht="12.75">
      <c r="I361" s="2"/>
      <c r="K361" s="2"/>
    </row>
    <row r="362" spans="9:11" ht="12.75">
      <c r="I362" s="2"/>
      <c r="K362" s="2"/>
    </row>
    <row r="363" spans="9:11" ht="12.75">
      <c r="I363" s="2"/>
      <c r="K363" s="2"/>
    </row>
    <row r="364" spans="9:11" ht="12.75">
      <c r="I364" s="2"/>
      <c r="K364" s="2"/>
    </row>
    <row r="365" spans="9:11" ht="12.75">
      <c r="I365" s="2"/>
      <c r="K365" s="2"/>
    </row>
    <row r="366" spans="9:11" ht="12.75">
      <c r="I366" s="2"/>
      <c r="K366" s="2"/>
    </row>
    <row r="367" spans="9:11" ht="12.75">
      <c r="I367" s="2"/>
      <c r="K367" s="2"/>
    </row>
    <row r="368" spans="9:11" ht="12.75">
      <c r="I368" s="2"/>
      <c r="K368" s="2"/>
    </row>
    <row r="369" spans="9:11" ht="12.75">
      <c r="I369" s="2"/>
      <c r="K369" s="2"/>
    </row>
    <row r="370" spans="9:11" ht="12.75">
      <c r="I370" s="2"/>
      <c r="K370" s="2"/>
    </row>
    <row r="371" spans="9:11" ht="12.75">
      <c r="I371" s="2"/>
      <c r="K371" s="2"/>
    </row>
    <row r="372" spans="9:11" ht="12.75">
      <c r="I372" s="2"/>
      <c r="K372" s="2"/>
    </row>
    <row r="373" spans="9:11" ht="12.75">
      <c r="I373" s="2"/>
      <c r="K373" s="2"/>
    </row>
    <row r="374" spans="9:11" ht="12.75">
      <c r="I374" s="2"/>
      <c r="K374" s="2"/>
    </row>
    <row r="375" spans="9:11" ht="12.75">
      <c r="I375" s="2"/>
      <c r="K375" s="2"/>
    </row>
    <row r="376" spans="9:11" ht="12.75">
      <c r="I376" s="2"/>
      <c r="K376" s="2"/>
    </row>
    <row r="377" spans="9:11" ht="12.75">
      <c r="I377" s="2"/>
      <c r="K377" s="2"/>
    </row>
    <row r="378" spans="9:11" ht="12.75">
      <c r="I378" s="2"/>
      <c r="K378" s="2"/>
    </row>
    <row r="379" spans="9:11" ht="12.75">
      <c r="I379" s="2"/>
      <c r="K379" s="2"/>
    </row>
    <row r="380" spans="9:11" ht="12.75">
      <c r="I380" s="2"/>
      <c r="K380" s="2"/>
    </row>
    <row r="381" spans="9:11" ht="12.75">
      <c r="I381" s="2"/>
      <c r="K381" s="2"/>
    </row>
    <row r="382" spans="9:11" ht="12.75">
      <c r="I382" s="2"/>
      <c r="K382" s="2"/>
    </row>
    <row r="383" spans="9:11" ht="12.75">
      <c r="I383" s="2"/>
      <c r="K383" s="2"/>
    </row>
    <row r="384" spans="9:11" ht="12.75">
      <c r="I384" s="2"/>
      <c r="K384" s="2"/>
    </row>
    <row r="385" spans="9:11" ht="12.75">
      <c r="I385" s="2"/>
      <c r="K385" s="2"/>
    </row>
    <row r="386" spans="9:11" ht="12.75">
      <c r="I386" s="2"/>
      <c r="K386" s="2"/>
    </row>
    <row r="387" spans="9:11" ht="12.75">
      <c r="I387" s="2"/>
      <c r="K387" s="2"/>
    </row>
    <row r="388" spans="9:11" ht="12.75">
      <c r="I388" s="2"/>
      <c r="K388" s="2"/>
    </row>
    <row r="389" spans="9:11" ht="12.75">
      <c r="I389" s="2"/>
      <c r="K389" s="2"/>
    </row>
    <row r="390" spans="9:11" ht="12.75">
      <c r="I390" s="2"/>
      <c r="K390" s="2"/>
    </row>
    <row r="391" spans="9:11" ht="12.75">
      <c r="I391" s="2"/>
      <c r="K391" s="2"/>
    </row>
    <row r="392" spans="9:11" ht="12.75">
      <c r="I392" s="2"/>
      <c r="K392" s="2"/>
    </row>
    <row r="393" spans="9:11" ht="12.75">
      <c r="I393" s="2"/>
      <c r="K393" s="2"/>
    </row>
    <row r="394" spans="9:11" ht="12.75">
      <c r="I394" s="2"/>
      <c r="K394" s="2"/>
    </row>
    <row r="395" spans="9:11" ht="12.75">
      <c r="I395" s="2"/>
      <c r="K395" s="2"/>
    </row>
    <row r="396" spans="9:11" ht="12.75">
      <c r="I396" s="2"/>
      <c r="K396" s="2"/>
    </row>
    <row r="397" spans="9:11" ht="12.75">
      <c r="I397" s="2"/>
      <c r="K397" s="2"/>
    </row>
    <row r="398" spans="9:11" ht="12.75">
      <c r="I398" s="2"/>
      <c r="K398" s="2"/>
    </row>
    <row r="399" spans="9:11" ht="12.75">
      <c r="I399" s="2"/>
      <c r="K399" s="2"/>
    </row>
    <row r="400" spans="9:11" ht="12.75">
      <c r="I400" s="2"/>
      <c r="K400" s="2"/>
    </row>
    <row r="401" spans="9:11" ht="12.75">
      <c r="I401" s="2"/>
      <c r="K401" s="2"/>
    </row>
    <row r="402" spans="9:11" ht="12.75">
      <c r="I402" s="2"/>
      <c r="K402" s="2"/>
    </row>
    <row r="403" spans="9:11" ht="12.75">
      <c r="I403" s="2"/>
      <c r="K403" s="2"/>
    </row>
    <row r="404" spans="9:11" ht="12.75">
      <c r="I404" s="2"/>
      <c r="K404" s="2"/>
    </row>
    <row r="405" spans="9:11" ht="12.75">
      <c r="I405" s="2"/>
      <c r="K405" s="2"/>
    </row>
    <row r="406" spans="9:11" ht="12.75">
      <c r="I406" s="2"/>
      <c r="K406" s="2"/>
    </row>
    <row r="407" spans="9:11" ht="12.75">
      <c r="I407" s="2"/>
      <c r="K407" s="2"/>
    </row>
    <row r="408" spans="9:11" ht="12.75">
      <c r="I408" s="2"/>
      <c r="K408" s="2"/>
    </row>
    <row r="409" spans="9:11" ht="12.75">
      <c r="I409" s="2"/>
      <c r="K409" s="2"/>
    </row>
    <row r="410" spans="9:11" ht="12.75">
      <c r="I410" s="2"/>
      <c r="K410" s="2"/>
    </row>
    <row r="411" spans="9:11" ht="12.75">
      <c r="I411" s="2"/>
      <c r="K411" s="2"/>
    </row>
    <row r="412" spans="9:11" ht="12.75">
      <c r="I412" s="2"/>
      <c r="K412" s="2"/>
    </row>
    <row r="413" spans="9:11" ht="12.75">
      <c r="I413" s="2"/>
      <c r="K413" s="2"/>
    </row>
    <row r="414" spans="9:11" ht="12.75">
      <c r="I414" s="2"/>
      <c r="K414" s="2"/>
    </row>
    <row r="415" spans="9:11" ht="12.75">
      <c r="I415" s="2"/>
      <c r="K415" s="2"/>
    </row>
    <row r="416" spans="9:11" ht="12.75">
      <c r="I416" s="2"/>
      <c r="K416" s="2"/>
    </row>
    <row r="417" spans="9:11" ht="12.75">
      <c r="I417" s="2"/>
      <c r="K417" s="2"/>
    </row>
    <row r="418" spans="9:11" ht="12.75">
      <c r="I418" s="2"/>
      <c r="K418" s="2"/>
    </row>
    <row r="419" spans="9:11" ht="12.75">
      <c r="I419" s="2"/>
      <c r="K419" s="2"/>
    </row>
    <row r="420" spans="9:11" ht="12.75">
      <c r="I420" s="2"/>
      <c r="K420" s="2"/>
    </row>
    <row r="421" spans="9:11" ht="12.75">
      <c r="I421" s="2"/>
      <c r="K421" s="2"/>
    </row>
    <row r="422" spans="9:11" ht="12.75">
      <c r="I422" s="2"/>
      <c r="K422" s="2"/>
    </row>
    <row r="423" spans="9:11" ht="12.75">
      <c r="I423" s="2"/>
      <c r="K423" s="2"/>
    </row>
    <row r="424" spans="9:11" ht="12.75">
      <c r="I424" s="2"/>
      <c r="K424" s="2"/>
    </row>
    <row r="425" spans="9:11" ht="12.75">
      <c r="I425" s="2"/>
      <c r="K425" s="2"/>
    </row>
    <row r="426" spans="9:11" ht="12.75">
      <c r="I426" s="2"/>
      <c r="K426" s="2"/>
    </row>
    <row r="427" spans="9:11" ht="12.75">
      <c r="I427" s="2"/>
      <c r="K427" s="2"/>
    </row>
    <row r="428" spans="9:11" ht="12.75">
      <c r="I428" s="2"/>
      <c r="K428" s="2"/>
    </row>
    <row r="429" spans="9:11" ht="12.75">
      <c r="I429" s="2"/>
      <c r="K429" s="2"/>
    </row>
    <row r="430" spans="9:11" ht="12.75">
      <c r="I430" s="2"/>
      <c r="K430" s="2"/>
    </row>
    <row r="431" spans="9:11" ht="12.75">
      <c r="I431" s="2"/>
      <c r="K431" s="2"/>
    </row>
    <row r="432" spans="9:11" ht="12.75">
      <c r="I432" s="2"/>
      <c r="K432" s="2"/>
    </row>
    <row r="433" spans="9:11" ht="12.75">
      <c r="I433" s="2"/>
      <c r="K433" s="2"/>
    </row>
    <row r="434" spans="9:11" ht="12.75">
      <c r="I434" s="2"/>
      <c r="K434" s="2"/>
    </row>
    <row r="435" spans="9:11" ht="12.75">
      <c r="I435" s="2"/>
      <c r="K435" s="2"/>
    </row>
    <row r="436" spans="9:11" ht="12.75">
      <c r="I436" s="2"/>
      <c r="K436" s="2"/>
    </row>
    <row r="437" spans="9:11" ht="12.75">
      <c r="I437" s="2"/>
      <c r="K437" s="2"/>
    </row>
    <row r="438" spans="9:11" ht="12.75">
      <c r="I438" s="2"/>
      <c r="K438" s="2"/>
    </row>
    <row r="439" spans="9:11" ht="12.75">
      <c r="I439" s="2"/>
      <c r="K439" s="2"/>
    </row>
    <row r="440" spans="9:11" ht="12.75">
      <c r="I440" s="2"/>
      <c r="K440" s="2"/>
    </row>
    <row r="441" spans="9:11" ht="12.75">
      <c r="I441" s="2"/>
      <c r="K441" s="2"/>
    </row>
    <row r="442" spans="9:11" ht="12.75">
      <c r="I442" s="2"/>
      <c r="K442" s="2"/>
    </row>
    <row r="443" spans="9:11" ht="12.75">
      <c r="I443" s="2"/>
      <c r="K443" s="2"/>
    </row>
    <row r="444" spans="9:11" ht="12.75">
      <c r="I444" s="2"/>
      <c r="K444" s="2"/>
    </row>
    <row r="445" spans="9:11" ht="12.75">
      <c r="I445" s="2"/>
      <c r="K445" s="2"/>
    </row>
    <row r="446" spans="9:11" ht="12.75">
      <c r="I446" s="2"/>
      <c r="K446" s="2"/>
    </row>
    <row r="447" spans="9:11" ht="12.75">
      <c r="I447" s="2"/>
      <c r="K447" s="2"/>
    </row>
    <row r="448" spans="9:11" ht="12.75">
      <c r="I448" s="2"/>
      <c r="K448" s="2"/>
    </row>
    <row r="449" spans="9:11" ht="12.75">
      <c r="I449" s="2"/>
      <c r="K449" s="2"/>
    </row>
    <row r="450" spans="9:11" ht="12.75">
      <c r="I450" s="2"/>
      <c r="K450" s="2"/>
    </row>
    <row r="451" spans="9:11" ht="12.75">
      <c r="I451" s="2"/>
      <c r="K451" s="2"/>
    </row>
    <row r="452" spans="9:11" ht="12.75">
      <c r="I452" s="2"/>
      <c r="K452" s="2"/>
    </row>
    <row r="453" spans="9:11" ht="12.75">
      <c r="I453" s="2"/>
      <c r="K453" s="2"/>
    </row>
    <row r="454" spans="9:11" ht="12.75">
      <c r="I454" s="2"/>
      <c r="K454" s="2"/>
    </row>
    <row r="455" spans="9:11" ht="12.75">
      <c r="I455" s="2"/>
      <c r="K455" s="2"/>
    </row>
    <row r="456" spans="9:11" ht="12.75">
      <c r="I456" s="2"/>
      <c r="K456" s="2"/>
    </row>
    <row r="457" spans="9:11" ht="12.75">
      <c r="I457" s="2"/>
      <c r="K457" s="2"/>
    </row>
    <row r="458" spans="9:11" ht="12.75">
      <c r="I458" s="2"/>
      <c r="K458" s="2"/>
    </row>
    <row r="459" spans="9:11" ht="12.75">
      <c r="I459" s="2"/>
      <c r="K459" s="2"/>
    </row>
    <row r="460" spans="9:11" ht="12.75">
      <c r="I460" s="2"/>
      <c r="K460" s="2"/>
    </row>
    <row r="461" spans="9:11" ht="12.75">
      <c r="I461" s="2"/>
      <c r="K461" s="2"/>
    </row>
    <row r="462" spans="9:11" ht="12.75">
      <c r="I462" s="2"/>
      <c r="K462" s="2"/>
    </row>
    <row r="463" spans="9:11" ht="12.75">
      <c r="I463" s="2"/>
      <c r="K463" s="2"/>
    </row>
    <row r="464" spans="9:11" ht="12.75">
      <c r="I464" s="2"/>
      <c r="K464" s="2"/>
    </row>
    <row r="465" spans="9:11" ht="12.75">
      <c r="I465" s="2"/>
      <c r="K465" s="2"/>
    </row>
    <row r="466" spans="9:11" ht="12.75">
      <c r="I466" s="2"/>
      <c r="K466" s="2"/>
    </row>
    <row r="467" spans="9:11" ht="12.75">
      <c r="I467" s="2"/>
      <c r="K467" s="2"/>
    </row>
    <row r="468" spans="9:11" ht="12.75">
      <c r="I468" s="2"/>
      <c r="K468" s="2"/>
    </row>
    <row r="469" spans="9:11" ht="12.75">
      <c r="I469" s="2"/>
      <c r="K469" s="2"/>
    </row>
    <row r="470" spans="9:11" ht="12.75">
      <c r="I470" s="2"/>
      <c r="K470" s="2"/>
    </row>
    <row r="471" spans="9:11" ht="12.75">
      <c r="I471" s="2"/>
      <c r="K471" s="2"/>
    </row>
    <row r="472" spans="9:11" ht="12.75">
      <c r="I472" s="2"/>
      <c r="K472" s="2"/>
    </row>
    <row r="473" spans="9:11" ht="12.75">
      <c r="I473" s="2"/>
      <c r="K473" s="2"/>
    </row>
    <row r="474" spans="9:11" ht="12.75">
      <c r="I474" s="2"/>
      <c r="K474" s="2"/>
    </row>
    <row r="475" spans="9:11" ht="12.75">
      <c r="I475" s="2"/>
      <c r="K475" s="2"/>
    </row>
    <row r="476" spans="9:11" ht="12.75">
      <c r="I476" s="2"/>
      <c r="K476" s="2"/>
    </row>
    <row r="477" spans="9:11" ht="12.75">
      <c r="I477" s="2"/>
      <c r="K477" s="2"/>
    </row>
    <row r="478" spans="9:11" ht="12.75">
      <c r="I478" s="2"/>
      <c r="K478" s="2"/>
    </row>
    <row r="479" spans="9:11" ht="12.75">
      <c r="I479" s="2"/>
      <c r="K479" s="2"/>
    </row>
    <row r="480" spans="9:11" ht="12.75">
      <c r="I480" s="2"/>
      <c r="K480" s="2"/>
    </row>
    <row r="481" spans="9:11" ht="12.75">
      <c r="I481" s="2"/>
      <c r="K481" s="2"/>
    </row>
    <row r="482" spans="9:11" ht="12.75">
      <c r="I482" s="2"/>
      <c r="K482" s="2"/>
    </row>
    <row r="483" spans="9:11" ht="12.75">
      <c r="I483" s="2"/>
      <c r="K483" s="2"/>
    </row>
    <row r="484" spans="9:11" ht="12.75">
      <c r="I484" s="2"/>
      <c r="K484" s="2"/>
    </row>
    <row r="485" spans="9:11" ht="12.75">
      <c r="I485" s="2"/>
      <c r="K485" s="2"/>
    </row>
    <row r="486" spans="9:11" ht="12.75">
      <c r="I486" s="2"/>
      <c r="K486" s="2"/>
    </row>
    <row r="487" spans="9:11" ht="12.75">
      <c r="I487" s="2"/>
      <c r="K487" s="2"/>
    </row>
    <row r="488" spans="9:11" ht="12.75">
      <c r="I488" s="2"/>
      <c r="K488" s="2"/>
    </row>
    <row r="489" spans="9:11" ht="12.75">
      <c r="I489" s="2"/>
      <c r="K489" s="2"/>
    </row>
    <row r="490" spans="9:11" ht="12.75">
      <c r="I490" s="2"/>
      <c r="K490" s="2"/>
    </row>
    <row r="491" spans="9:11" ht="12.75">
      <c r="I491" s="2"/>
      <c r="K491" s="2"/>
    </row>
    <row r="492" spans="9:11" ht="12.75">
      <c r="I492" s="2"/>
      <c r="K492" s="2"/>
    </row>
    <row r="493" spans="9:11" ht="12.75">
      <c r="I493" s="2"/>
      <c r="K493" s="2"/>
    </row>
    <row r="494" spans="9:11" ht="12.75">
      <c r="I494" s="2"/>
      <c r="K494" s="2"/>
    </row>
    <row r="495" spans="9:11" ht="12.75">
      <c r="I495" s="2"/>
      <c r="K495" s="2"/>
    </row>
    <row r="496" spans="9:11" ht="12.75">
      <c r="I496" s="2"/>
      <c r="K496" s="2"/>
    </row>
    <row r="497" spans="9:11" ht="12.75">
      <c r="I497" s="2"/>
      <c r="K497" s="2"/>
    </row>
    <row r="498" spans="9:11" ht="12.75">
      <c r="I498" s="2"/>
      <c r="K498" s="2"/>
    </row>
    <row r="499" spans="9:11" ht="12.75">
      <c r="I499" s="2"/>
      <c r="K499" s="2"/>
    </row>
    <row r="500" spans="9:11" ht="12.75">
      <c r="I500" s="2"/>
      <c r="K500" s="2"/>
    </row>
    <row r="501" spans="9:11" ht="12.75">
      <c r="I501" s="2"/>
      <c r="K501" s="2"/>
    </row>
    <row r="502" spans="9:11" ht="12.75">
      <c r="I502" s="2"/>
      <c r="K502" s="2"/>
    </row>
    <row r="503" spans="9:11" ht="12.75">
      <c r="I503" s="2"/>
      <c r="K503" s="2"/>
    </row>
    <row r="504" spans="9:11" ht="12.75">
      <c r="I504" s="2"/>
      <c r="K504" s="2"/>
    </row>
    <row r="505" spans="9:11" ht="12.75">
      <c r="I505" s="2"/>
      <c r="K505" s="2"/>
    </row>
    <row r="506" spans="9:11" ht="12.75">
      <c r="I506" s="2"/>
      <c r="K506" s="2"/>
    </row>
    <row r="507" spans="9:11" ht="12.75">
      <c r="I507" s="2"/>
      <c r="K507" s="2"/>
    </row>
    <row r="508" spans="9:11" ht="12.75">
      <c r="I508" s="2"/>
      <c r="K508" s="2"/>
    </row>
    <row r="509" spans="9:11" ht="12.75">
      <c r="I509" s="2"/>
      <c r="K509" s="2"/>
    </row>
    <row r="510" spans="9:11" ht="12.75">
      <c r="I510" s="2"/>
      <c r="K510" s="2"/>
    </row>
    <row r="511" spans="9:11" ht="12.75">
      <c r="I511" s="2"/>
      <c r="K511" s="2"/>
    </row>
    <row r="512" spans="9:11" ht="12.75">
      <c r="I512" s="2"/>
      <c r="K512" s="2"/>
    </row>
    <row r="513" spans="9:11" ht="12.75">
      <c r="I513" s="2"/>
      <c r="K513" s="2"/>
    </row>
    <row r="514" spans="9:11" ht="12.75">
      <c r="I514" s="2"/>
      <c r="K514" s="2"/>
    </row>
    <row r="515" spans="9:11" ht="12.75">
      <c r="I515" s="2"/>
      <c r="K515" s="2"/>
    </row>
    <row r="516" spans="9:11" ht="12.75">
      <c r="I516" s="2"/>
      <c r="K516" s="2"/>
    </row>
    <row r="517" spans="9:11" ht="12.75">
      <c r="I517" s="2"/>
      <c r="K517" s="2"/>
    </row>
    <row r="518" spans="9:11" ht="12.75">
      <c r="I518" s="2"/>
      <c r="K518" s="2"/>
    </row>
    <row r="519" spans="9:11" ht="12.75">
      <c r="I519" s="2"/>
      <c r="K519" s="2"/>
    </row>
    <row r="520" spans="9:11" ht="12.75">
      <c r="I520" s="2"/>
      <c r="K520" s="2"/>
    </row>
    <row r="521" spans="9:11" ht="12.75">
      <c r="I521" s="2"/>
      <c r="K521" s="2"/>
    </row>
    <row r="522" spans="9:11" ht="12.75">
      <c r="I522" s="2"/>
      <c r="K522" s="2"/>
    </row>
    <row r="523" spans="9:11" ht="12.75">
      <c r="I523" s="2"/>
      <c r="K523" s="2"/>
    </row>
    <row r="524" spans="9:11" ht="12.75">
      <c r="I524" s="2"/>
      <c r="K524" s="2"/>
    </row>
    <row r="525" spans="9:11" ht="12.75">
      <c r="I525" s="2"/>
      <c r="K525" s="2"/>
    </row>
    <row r="526" spans="9:11" ht="12.75">
      <c r="I526" s="2"/>
      <c r="K526" s="2"/>
    </row>
    <row r="527" spans="9:11" ht="12.75">
      <c r="I527" s="2"/>
      <c r="K527" s="2"/>
    </row>
    <row r="528" spans="9:11" ht="12.75">
      <c r="I528" s="2"/>
      <c r="K528" s="2"/>
    </row>
    <row r="529" spans="9:11" ht="12.75">
      <c r="I529" s="2"/>
      <c r="K529" s="2"/>
    </row>
    <row r="530" spans="9:11" ht="12.75">
      <c r="I530" s="2"/>
      <c r="K530" s="2"/>
    </row>
    <row r="531" spans="9:11" ht="12.75">
      <c r="I531" s="2"/>
      <c r="K531" s="2"/>
    </row>
    <row r="532" spans="9:11" ht="12.75">
      <c r="I532" s="2"/>
      <c r="K532" s="2"/>
    </row>
    <row r="533" spans="9:11" ht="12.75">
      <c r="I533" s="2"/>
      <c r="K533" s="2"/>
    </row>
    <row r="534" spans="9:11" ht="12.75">
      <c r="I534" s="2"/>
      <c r="K534" s="2"/>
    </row>
    <row r="535" spans="9:11" ht="12.75">
      <c r="I535" s="2"/>
      <c r="K535" s="2"/>
    </row>
    <row r="536" spans="9:11" ht="12.75">
      <c r="I536" s="2"/>
      <c r="K536" s="2"/>
    </row>
    <row r="537" spans="9:11" ht="12.75">
      <c r="I537" s="2"/>
      <c r="K537" s="2"/>
    </row>
    <row r="538" spans="9:11" ht="12.75">
      <c r="I538" s="2"/>
      <c r="K538" s="2"/>
    </row>
    <row r="539" spans="9:11" ht="12.75">
      <c r="I539" s="2"/>
      <c r="K539" s="2"/>
    </row>
    <row r="540" spans="9:11" ht="12.75">
      <c r="I540" s="2"/>
      <c r="K540" s="2"/>
    </row>
    <row r="541" spans="9:11" ht="12.75">
      <c r="I541" s="2"/>
      <c r="K541" s="2"/>
    </row>
    <row r="542" spans="9:11" ht="12.75">
      <c r="I542" s="2"/>
      <c r="K542" s="2"/>
    </row>
    <row r="543" spans="9:11" ht="12.75">
      <c r="I543" s="2"/>
      <c r="K543" s="2"/>
    </row>
    <row r="544" spans="9:11" ht="12.75">
      <c r="I544" s="2"/>
      <c r="K544" s="2"/>
    </row>
    <row r="545" spans="9:11" ht="12.75">
      <c r="I545" s="2"/>
      <c r="K545" s="2"/>
    </row>
    <row r="546" spans="9:11" ht="12.75">
      <c r="I546" s="2"/>
      <c r="K546" s="2"/>
    </row>
    <row r="547" spans="9:11" ht="12.75">
      <c r="I547" s="2"/>
      <c r="K547" s="2"/>
    </row>
    <row r="548" spans="9:11" ht="12.75">
      <c r="I548" s="2"/>
      <c r="K548" s="2"/>
    </row>
    <row r="549" spans="9:11" ht="12.75">
      <c r="I549" s="2"/>
      <c r="K549" s="2"/>
    </row>
    <row r="550" spans="9:11" ht="12.75">
      <c r="I550" s="2"/>
      <c r="K550" s="2"/>
    </row>
    <row r="551" spans="9:11" ht="12.75">
      <c r="I551" s="2"/>
      <c r="K551" s="2"/>
    </row>
    <row r="552" spans="9:11" ht="12.75">
      <c r="I552" s="2"/>
      <c r="K552" s="2"/>
    </row>
    <row r="553" spans="9:11" ht="12.75">
      <c r="I553" s="2"/>
      <c r="K553" s="2"/>
    </row>
    <row r="554" spans="9:11" ht="12.75">
      <c r="I554" s="2"/>
      <c r="K554" s="2"/>
    </row>
    <row r="555" spans="9:11" ht="12.75">
      <c r="I555" s="2"/>
      <c r="K555" s="2"/>
    </row>
    <row r="556" spans="9:11" ht="12.75">
      <c r="I556" s="2"/>
      <c r="K556" s="2"/>
    </row>
    <row r="557" spans="9:11" ht="12.75">
      <c r="I557" s="2"/>
      <c r="K557" s="2"/>
    </row>
    <row r="558" spans="9:11" ht="12.75">
      <c r="I558" s="2"/>
      <c r="K558" s="2"/>
    </row>
    <row r="559" spans="9:11" ht="12.75">
      <c r="I559" s="2"/>
      <c r="K559" s="2"/>
    </row>
    <row r="560" spans="9:11" ht="12.75">
      <c r="I560" s="2"/>
      <c r="K560" s="2"/>
    </row>
    <row r="561" spans="9:11" ht="12.75">
      <c r="I561" s="2"/>
      <c r="K561" s="2"/>
    </row>
    <row r="562" spans="9:11" ht="12.75">
      <c r="I562" s="2"/>
      <c r="K562" s="2"/>
    </row>
    <row r="563" spans="9:11" ht="12.75">
      <c r="I563" s="2"/>
      <c r="K563" s="2"/>
    </row>
    <row r="564" spans="9:11" ht="12.75">
      <c r="I564" s="2"/>
      <c r="K564" s="2"/>
    </row>
    <row r="565" spans="9:11" ht="12.75">
      <c r="I565" s="2"/>
      <c r="K565" s="2"/>
    </row>
    <row r="566" spans="9:11" ht="12.75">
      <c r="I566" s="2"/>
      <c r="K566" s="2"/>
    </row>
    <row r="567" spans="9:11" ht="12.75">
      <c r="I567" s="2"/>
      <c r="K567" s="2"/>
    </row>
    <row r="568" spans="9:11" ht="12.75">
      <c r="I568" s="2"/>
      <c r="K568" s="2"/>
    </row>
    <row r="569" spans="9:11" ht="12.75">
      <c r="I569" s="2"/>
      <c r="K569" s="2"/>
    </row>
    <row r="570" spans="9:11" ht="12.75">
      <c r="I570" s="2"/>
      <c r="K570" s="2"/>
    </row>
    <row r="571" spans="9:11" ht="12.75">
      <c r="I571" s="2"/>
      <c r="K571" s="2"/>
    </row>
    <row r="572" spans="9:11" ht="12.75">
      <c r="I572" s="2"/>
      <c r="K572" s="2"/>
    </row>
    <row r="573" spans="9:11" ht="12.75">
      <c r="I573" s="2"/>
      <c r="K573" s="2"/>
    </row>
    <row r="574" spans="9:11" ht="12.75">
      <c r="I574" s="2"/>
      <c r="K574" s="2"/>
    </row>
    <row r="575" spans="9:11" ht="12.75">
      <c r="I575" s="2"/>
      <c r="K575" s="2"/>
    </row>
    <row r="576" spans="9:11" ht="12.75">
      <c r="I576" s="2"/>
      <c r="K576" s="2"/>
    </row>
    <row r="577" spans="9:11" ht="12.75">
      <c r="I577" s="2"/>
      <c r="K577" s="2"/>
    </row>
    <row r="578" spans="9:11" ht="12.75">
      <c r="I578" s="2"/>
      <c r="K578" s="2"/>
    </row>
    <row r="579" spans="9:11" ht="12.75">
      <c r="I579" s="2"/>
      <c r="K579" s="2"/>
    </row>
    <row r="580" spans="9:11" ht="12.75">
      <c r="I580" s="2"/>
      <c r="K580" s="2"/>
    </row>
    <row r="581" spans="9:11" ht="12.75">
      <c r="I581" s="2"/>
      <c r="K581" s="2"/>
    </row>
    <row r="582" spans="9:11" ht="12.75">
      <c r="I582" s="2"/>
      <c r="K582" s="2"/>
    </row>
    <row r="583" spans="9:11" ht="12.75">
      <c r="I583" s="2"/>
      <c r="K583" s="2"/>
    </row>
    <row r="584" spans="9:11" ht="12.75">
      <c r="I584" s="2"/>
      <c r="K584" s="2"/>
    </row>
    <row r="585" spans="9:11" ht="12.75">
      <c r="I585" s="2"/>
      <c r="K585" s="2"/>
    </row>
    <row r="586" spans="9:11" ht="12.75">
      <c r="I586" s="2"/>
      <c r="K586" s="2"/>
    </row>
    <row r="587" spans="9:11" ht="12.75">
      <c r="I587" s="2"/>
      <c r="K587" s="2"/>
    </row>
    <row r="588" spans="9:11" ht="12.75">
      <c r="I588" s="2"/>
      <c r="K588" s="2"/>
    </row>
    <row r="589" spans="9:11" ht="12.75">
      <c r="I589" s="2"/>
      <c r="K589" s="2"/>
    </row>
    <row r="590" spans="9:11" ht="12.75">
      <c r="I590" s="2"/>
      <c r="K590" s="2"/>
    </row>
    <row r="591" spans="9:11" ht="12.75">
      <c r="I591" s="2"/>
      <c r="K591" s="2"/>
    </row>
    <row r="592" spans="9:11" ht="12.75">
      <c r="I592" s="2"/>
      <c r="K592" s="2"/>
    </row>
    <row r="593" spans="9:11" ht="12.75">
      <c r="I593" s="2"/>
      <c r="K593" s="2"/>
    </row>
    <row r="594" spans="9:11" ht="12.75">
      <c r="I594" s="2"/>
      <c r="K594" s="2"/>
    </row>
    <row r="595" spans="9:11" ht="12.75">
      <c r="I595" s="2"/>
      <c r="K595" s="2"/>
    </row>
    <row r="596" spans="9:11" ht="12.75">
      <c r="I596" s="2"/>
      <c r="K596" s="2"/>
    </row>
    <row r="597" spans="9:11" ht="12.75">
      <c r="I597" s="2"/>
      <c r="K597" s="2"/>
    </row>
    <row r="598" spans="9:11" ht="12.75">
      <c r="I598" s="2"/>
      <c r="K598" s="2"/>
    </row>
    <row r="599" spans="9:11" ht="12.75">
      <c r="I599" s="2"/>
      <c r="K599" s="2"/>
    </row>
    <row r="600" spans="9:11" ht="12.75">
      <c r="I600" s="2"/>
      <c r="K600" s="2"/>
    </row>
    <row r="601" spans="9:11" ht="12.75">
      <c r="I601" s="2"/>
      <c r="K601" s="2"/>
    </row>
    <row r="602" spans="9:11" ht="12.75">
      <c r="I602" s="2"/>
      <c r="K602" s="2"/>
    </row>
    <row r="603" spans="9:11" ht="12.75">
      <c r="I603" s="2"/>
      <c r="K603" s="2"/>
    </row>
    <row r="604" spans="9:11" ht="12.75">
      <c r="I604" s="2"/>
      <c r="K604" s="2"/>
    </row>
    <row r="605" spans="9:11" ht="12.75">
      <c r="I605" s="2"/>
      <c r="K605" s="2"/>
    </row>
    <row r="606" spans="9:11" ht="12.75">
      <c r="I606" s="2"/>
      <c r="K606" s="2"/>
    </row>
    <row r="607" spans="9:11" ht="12.75">
      <c r="I607" s="2"/>
      <c r="K607" s="2"/>
    </row>
    <row r="608" spans="9:11" ht="12.75">
      <c r="I608" s="2"/>
      <c r="K608" s="2"/>
    </row>
    <row r="609" spans="9:11" ht="12.75">
      <c r="I609" s="2"/>
      <c r="K609" s="2"/>
    </row>
    <row r="610" spans="9:11" ht="12.75">
      <c r="I610" s="2"/>
      <c r="K610" s="2"/>
    </row>
    <row r="611" spans="9:11" ht="12.75">
      <c r="I611" s="2"/>
      <c r="K611" s="2"/>
    </row>
    <row r="612" spans="9:11" ht="12.75">
      <c r="I612" s="2"/>
      <c r="K612" s="2"/>
    </row>
    <row r="613" spans="9:11" ht="12.75">
      <c r="I613" s="2"/>
      <c r="K613" s="2"/>
    </row>
    <row r="614" spans="9:11" ht="12.75">
      <c r="I614" s="2"/>
      <c r="K614" s="2"/>
    </row>
    <row r="615" spans="9:11" ht="12.75">
      <c r="I615" s="2"/>
      <c r="K615" s="2"/>
    </row>
    <row r="616" spans="9:11" ht="12.75">
      <c r="I616" s="2"/>
      <c r="K616" s="2"/>
    </row>
    <row r="617" spans="9:11" ht="12.75">
      <c r="I617" s="2"/>
      <c r="K617" s="2"/>
    </row>
    <row r="618" spans="9:11" ht="12.75">
      <c r="I618" s="2"/>
      <c r="K618" s="2"/>
    </row>
    <row r="619" spans="9:11" ht="12.75">
      <c r="I619" s="2"/>
      <c r="K619" s="2"/>
    </row>
    <row r="620" spans="9:11" ht="12.75">
      <c r="I620" s="2"/>
      <c r="K620" s="2"/>
    </row>
    <row r="621" spans="9:11" ht="12.75">
      <c r="I621" s="2"/>
      <c r="K621" s="2"/>
    </row>
    <row r="622" spans="9:11" ht="12.75">
      <c r="I622" s="2"/>
      <c r="K622" s="2"/>
    </row>
    <row r="623" spans="9:11" ht="12.75">
      <c r="I623" s="2"/>
      <c r="K623" s="2"/>
    </row>
    <row r="624" spans="9:11" ht="12.75">
      <c r="I624" s="2"/>
      <c r="K624" s="2"/>
    </row>
    <row r="625" spans="9:11" ht="12.75">
      <c r="I625" s="2"/>
      <c r="K625" s="2"/>
    </row>
    <row r="626" spans="9:11" ht="12.75">
      <c r="I626" s="2"/>
      <c r="K626" s="2"/>
    </row>
    <row r="627" spans="9:11" ht="12.75">
      <c r="I627" s="2"/>
      <c r="K627" s="2"/>
    </row>
    <row r="628" spans="9:11" ht="12.75">
      <c r="I628" s="2"/>
      <c r="K628" s="2"/>
    </row>
    <row r="629" spans="9:11" ht="12.75">
      <c r="I629" s="2"/>
      <c r="K629" s="2"/>
    </row>
    <row r="630" spans="9:11" ht="12.75">
      <c r="I630" s="2"/>
      <c r="K630" s="2"/>
    </row>
    <row r="631" spans="9:11" ht="12.75">
      <c r="I631" s="2"/>
      <c r="K631" s="2"/>
    </row>
    <row r="632" spans="9:11" ht="12.75">
      <c r="I632" s="2"/>
      <c r="K632" s="2"/>
    </row>
    <row r="633" spans="9:11" ht="12.75">
      <c r="I633" s="2"/>
      <c r="K633" s="2"/>
    </row>
    <row r="634" spans="9:11" ht="12.75">
      <c r="I634" s="2"/>
      <c r="K634" s="2"/>
    </row>
    <row r="635" spans="9:11" ht="12.75">
      <c r="I635" s="2"/>
      <c r="K635" s="2"/>
    </row>
    <row r="636" spans="9:11" ht="12.75">
      <c r="I636" s="2"/>
      <c r="K636" s="2"/>
    </row>
    <row r="637" spans="9:11" ht="12.75">
      <c r="I637" s="2"/>
      <c r="K637" s="2"/>
    </row>
    <row r="638" spans="9:11" ht="12.75">
      <c r="I638" s="2"/>
      <c r="K638" s="2"/>
    </row>
    <row r="639" spans="9:11" ht="12.75">
      <c r="I639" s="2"/>
      <c r="K639" s="2"/>
    </row>
    <row r="640" spans="9:11" ht="12.75">
      <c r="I640" s="2"/>
      <c r="K640" s="2"/>
    </row>
    <row r="641" spans="9:11" ht="12.75">
      <c r="I641" s="2"/>
      <c r="K641" s="2"/>
    </row>
    <row r="642" spans="9:11" ht="12.75">
      <c r="I642" s="2"/>
      <c r="K642" s="2"/>
    </row>
    <row r="643" spans="9:11" ht="12.75">
      <c r="I643" s="2"/>
      <c r="K643" s="2"/>
    </row>
    <row r="644" spans="9:11" ht="12.75">
      <c r="I644" s="2"/>
      <c r="K644" s="2"/>
    </row>
    <row r="645" spans="9:11" ht="12.75">
      <c r="I645" s="2"/>
      <c r="K645" s="2"/>
    </row>
    <row r="646" spans="9:11" ht="12.75">
      <c r="I646" s="2"/>
      <c r="K646" s="2"/>
    </row>
    <row r="647" spans="9:11" ht="12.75">
      <c r="I647" s="2"/>
      <c r="K647" s="2"/>
    </row>
    <row r="648" spans="9:11" ht="12.75">
      <c r="I648" s="2"/>
      <c r="K648" s="2"/>
    </row>
    <row r="649" spans="9:11" ht="12.75">
      <c r="I649" s="2"/>
      <c r="K649" s="2"/>
    </row>
    <row r="650" spans="9:11" ht="12.75">
      <c r="I650" s="2"/>
      <c r="K650" s="2"/>
    </row>
    <row r="651" spans="9:11" ht="12.75">
      <c r="I651" s="2"/>
      <c r="K651" s="2"/>
    </row>
    <row r="652" spans="9:11" ht="12.75">
      <c r="I652" s="2"/>
      <c r="K652" s="2"/>
    </row>
    <row r="653" spans="9:11" ht="12.75">
      <c r="I653" s="2"/>
      <c r="K653" s="2"/>
    </row>
    <row r="654" spans="9:11" ht="12.75">
      <c r="I654" s="2"/>
      <c r="K654" s="2"/>
    </row>
    <row r="655" spans="9:11" ht="12.75">
      <c r="I655" s="2"/>
      <c r="K655" s="2"/>
    </row>
    <row r="656" spans="9:11" ht="12.75">
      <c r="I656" s="2"/>
      <c r="K656" s="2"/>
    </row>
    <row r="657" spans="9:11" ht="12.75">
      <c r="I657" s="2"/>
      <c r="K657" s="2"/>
    </row>
    <row r="658" spans="9:11" ht="12.75">
      <c r="I658" s="2"/>
      <c r="K658" s="2"/>
    </row>
    <row r="659" spans="9:11" ht="12.75">
      <c r="I659" s="2"/>
      <c r="K659" s="2"/>
    </row>
    <row r="660" spans="9:11" ht="12.75">
      <c r="I660" s="2"/>
      <c r="K660" s="2"/>
    </row>
    <row r="661" spans="9:11" ht="12.75">
      <c r="I661" s="2"/>
      <c r="K661" s="2"/>
    </row>
    <row r="662" spans="9:11" ht="12.75">
      <c r="I662" s="2"/>
      <c r="K662" s="2"/>
    </row>
    <row r="663" spans="9:11" ht="12.75">
      <c r="I663" s="2"/>
      <c r="K663" s="2"/>
    </row>
    <row r="664" spans="9:11" ht="12.75">
      <c r="I664" s="2"/>
      <c r="K664" s="2"/>
    </row>
    <row r="665" spans="9:11" ht="12.75">
      <c r="I665" s="2"/>
      <c r="K665" s="2"/>
    </row>
    <row r="666" spans="9:11" ht="12.75">
      <c r="I666" s="2"/>
      <c r="K666" s="2"/>
    </row>
    <row r="667" spans="9:11" ht="12.75">
      <c r="I667" s="2"/>
      <c r="K667" s="2"/>
    </row>
    <row r="668" spans="9:11" ht="12.75">
      <c r="I668" s="2"/>
      <c r="K668" s="2"/>
    </row>
    <row r="669" spans="9:11" ht="12.75">
      <c r="I669" s="2"/>
      <c r="K669" s="2"/>
    </row>
    <row r="670" spans="9:11" ht="12.75">
      <c r="I670" s="2"/>
      <c r="K670" s="2"/>
    </row>
    <row r="671" spans="9:11" ht="12.75">
      <c r="I671" s="2"/>
      <c r="K671" s="2"/>
    </row>
    <row r="672" spans="9:11" ht="12.75">
      <c r="I672" s="2"/>
      <c r="K672" s="2"/>
    </row>
    <row r="673" spans="9:11" ht="12.75">
      <c r="I673" s="2"/>
      <c r="K673" s="2"/>
    </row>
    <row r="674" spans="9:11" ht="12.75">
      <c r="I674" s="2"/>
      <c r="K674" s="2"/>
    </row>
    <row r="675" spans="9:11" ht="12.75">
      <c r="I675" s="2"/>
      <c r="K675" s="2"/>
    </row>
    <row r="676" spans="9:11" ht="12.75">
      <c r="I676" s="2"/>
      <c r="K676" s="2"/>
    </row>
    <row r="677" spans="9:11" ht="12.75">
      <c r="I677" s="2"/>
      <c r="K677" s="2"/>
    </row>
    <row r="678" spans="9:11" ht="12.75">
      <c r="I678" s="2"/>
      <c r="K678" s="2"/>
    </row>
    <row r="679" spans="9:11" ht="12.75">
      <c r="I679" s="2"/>
      <c r="K679" s="2"/>
    </row>
    <row r="680" spans="9:11" ht="12.75">
      <c r="I680" s="2"/>
      <c r="K680" s="2"/>
    </row>
    <row r="681" spans="9:11" ht="12.75">
      <c r="I681" s="2"/>
      <c r="K681" s="2"/>
    </row>
    <row r="682" spans="9:11" ht="12.75">
      <c r="I682" s="2"/>
      <c r="K682" s="2"/>
    </row>
    <row r="683" spans="9:11" ht="12.75">
      <c r="I683" s="2"/>
      <c r="K683" s="2"/>
    </row>
    <row r="684" spans="9:11" ht="12.75">
      <c r="I684" s="2"/>
      <c r="K684" s="2"/>
    </row>
    <row r="685" spans="9:11" ht="12.75">
      <c r="I685" s="2"/>
      <c r="K685" s="2"/>
    </row>
    <row r="686" spans="9:11" ht="12.75">
      <c r="I686" s="2"/>
      <c r="K686" s="2"/>
    </row>
    <row r="687" spans="9:11" ht="12.75">
      <c r="I687" s="2"/>
      <c r="K687" s="2"/>
    </row>
    <row r="688" spans="9:11" ht="12.75">
      <c r="I688" s="2"/>
      <c r="K688" s="2"/>
    </row>
    <row r="689" spans="9:11" ht="12.75">
      <c r="I689" s="2"/>
      <c r="K689" s="2"/>
    </row>
    <row r="690" spans="9:11" ht="12.75">
      <c r="I690" s="2"/>
      <c r="K690" s="2"/>
    </row>
    <row r="691" spans="9:11" ht="12.75">
      <c r="I691" s="2"/>
      <c r="K691" s="2"/>
    </row>
    <row r="692" spans="9:11" ht="12.75">
      <c r="I692" s="2"/>
      <c r="K692" s="2"/>
    </row>
    <row r="693" spans="9:11" ht="12.75">
      <c r="I693" s="2"/>
      <c r="K693" s="2"/>
    </row>
    <row r="694" spans="9:11" ht="12.75">
      <c r="I694" s="2"/>
      <c r="K694" s="2"/>
    </row>
    <row r="695" spans="9:11" ht="12.75">
      <c r="I695" s="2"/>
      <c r="K695" s="2"/>
    </row>
    <row r="696" spans="9:11" ht="12.75">
      <c r="I696" s="2"/>
      <c r="K696" s="2"/>
    </row>
    <row r="697" spans="9:11" ht="12.75">
      <c r="I697" s="2"/>
      <c r="K697" s="2"/>
    </row>
    <row r="698" spans="9:11" ht="12.75">
      <c r="I698" s="2"/>
      <c r="K698" s="2"/>
    </row>
    <row r="699" spans="9:11" ht="12.75">
      <c r="I699" s="2"/>
      <c r="K699" s="2"/>
    </row>
    <row r="700" spans="9:11" ht="12.75">
      <c r="I700" s="2"/>
      <c r="K700" s="2"/>
    </row>
    <row r="701" spans="9:11" ht="12.75">
      <c r="I701" s="2"/>
      <c r="K701" s="2"/>
    </row>
    <row r="702" spans="9:11" ht="12.75">
      <c r="I702" s="2"/>
      <c r="K702" s="2"/>
    </row>
    <row r="703" spans="9:11" ht="12.75">
      <c r="I703" s="2"/>
      <c r="K703" s="2"/>
    </row>
    <row r="704" spans="9:11" ht="12.75">
      <c r="I704" s="2"/>
      <c r="K704" s="2"/>
    </row>
    <row r="705" spans="9:11" ht="12.75">
      <c r="I705" s="2"/>
      <c r="K705" s="2"/>
    </row>
    <row r="706" spans="9:11" ht="12.75">
      <c r="I706" s="2"/>
      <c r="K706" s="2"/>
    </row>
    <row r="707" spans="9:11" ht="12.75">
      <c r="I707" s="2"/>
      <c r="K707" s="2"/>
    </row>
    <row r="708" spans="9:11" ht="12.75">
      <c r="I708" s="2"/>
      <c r="K708" s="2"/>
    </row>
    <row r="709" spans="9:11" ht="12.75">
      <c r="I709" s="2"/>
      <c r="K709" s="2"/>
    </row>
    <row r="710" spans="9:11" ht="12.75">
      <c r="I710" s="2"/>
      <c r="K710" s="2"/>
    </row>
    <row r="711" spans="9:11" ht="12.75">
      <c r="I711" s="2"/>
      <c r="K711" s="2"/>
    </row>
    <row r="712" spans="9:11" ht="12.75">
      <c r="I712" s="2"/>
      <c r="K712" s="2"/>
    </row>
    <row r="713" spans="9:11" ht="12.75">
      <c r="I713" s="2"/>
      <c r="K713" s="2"/>
    </row>
    <row r="714" spans="9:11" ht="12.75">
      <c r="I714" s="2"/>
      <c r="K714" s="2"/>
    </row>
    <row r="715" spans="9:11" ht="12.75">
      <c r="I715" s="2"/>
      <c r="K715" s="2"/>
    </row>
    <row r="716" spans="9:11" ht="12.75">
      <c r="I716" s="2"/>
      <c r="K716" s="2"/>
    </row>
    <row r="717" spans="9:11" ht="12.75">
      <c r="I717" s="2"/>
      <c r="K717" s="2"/>
    </row>
    <row r="718" spans="9:11" ht="12.75">
      <c r="I718" s="2"/>
      <c r="K718" s="2"/>
    </row>
    <row r="719" spans="9:11" ht="12.75">
      <c r="I719" s="2"/>
      <c r="K719" s="2"/>
    </row>
    <row r="720" spans="9:11" ht="12.75">
      <c r="I720" s="2"/>
      <c r="K720" s="2"/>
    </row>
    <row r="721" spans="9:11" ht="12.75">
      <c r="I721" s="2"/>
      <c r="K721" s="2"/>
    </row>
    <row r="722" spans="9:11" ht="12.75">
      <c r="I722" s="2"/>
      <c r="K722" s="2"/>
    </row>
    <row r="723" spans="9:11" ht="12.75">
      <c r="I723" s="2"/>
      <c r="K723" s="2"/>
    </row>
    <row r="724" spans="9:11" ht="12.75">
      <c r="I724" s="2"/>
      <c r="K724" s="2"/>
    </row>
    <row r="725" spans="9:11" ht="12.75">
      <c r="I725" s="2"/>
      <c r="K725" s="2"/>
    </row>
    <row r="726" spans="9:11" ht="12.75">
      <c r="I726" s="2"/>
      <c r="K726" s="2"/>
    </row>
    <row r="727" spans="9:11" ht="12.75">
      <c r="I727" s="2"/>
      <c r="K727" s="2"/>
    </row>
    <row r="728" spans="9:11" ht="12.75">
      <c r="I728" s="2"/>
      <c r="K728" s="2"/>
    </row>
    <row r="729" spans="9:11" ht="12.75">
      <c r="I729" s="2"/>
      <c r="K729" s="2"/>
    </row>
    <row r="730" spans="9:11" ht="12.75">
      <c r="I730" s="2"/>
      <c r="K730" s="2"/>
    </row>
    <row r="731" spans="9:11" ht="12.75">
      <c r="I731" s="2"/>
      <c r="K731" s="2"/>
    </row>
    <row r="732" spans="9:11" ht="12.75">
      <c r="I732" s="2"/>
      <c r="K732" s="2"/>
    </row>
    <row r="733" spans="9:11" ht="12.75">
      <c r="I733" s="2"/>
      <c r="K733" s="2"/>
    </row>
    <row r="734" spans="9:11" ht="12.75">
      <c r="I734" s="2"/>
      <c r="K734" s="2"/>
    </row>
    <row r="735" spans="9:11" ht="12.75">
      <c r="I735" s="2"/>
      <c r="K735" s="2"/>
    </row>
    <row r="736" spans="9:11" ht="12.75">
      <c r="I736" s="2"/>
      <c r="K736" s="2"/>
    </row>
    <row r="737" spans="9:11" ht="12.75">
      <c r="I737" s="2"/>
      <c r="K737" s="2"/>
    </row>
    <row r="738" spans="9:11" ht="12.75">
      <c r="I738" s="2"/>
      <c r="K738" s="2"/>
    </row>
    <row r="739" spans="9:11" ht="12.75">
      <c r="I739" s="2"/>
      <c r="K739" s="2"/>
    </row>
    <row r="740" spans="9:11" ht="12.75">
      <c r="I740" s="2"/>
      <c r="K740" s="2"/>
    </row>
    <row r="741" spans="9:11" ht="12.75">
      <c r="I741" s="2"/>
      <c r="K741" s="2"/>
    </row>
    <row r="742" spans="9:11" ht="12.75">
      <c r="I742" s="2"/>
      <c r="K742" s="2"/>
    </row>
    <row r="743" spans="9:11" ht="12.75">
      <c r="I743" s="2"/>
      <c r="K743" s="2"/>
    </row>
    <row r="744" spans="9:11" ht="12.75">
      <c r="I744" s="2"/>
      <c r="K744" s="2"/>
    </row>
    <row r="745" spans="9:11" ht="12.75">
      <c r="I745" s="2"/>
      <c r="K745" s="2"/>
    </row>
    <row r="746" spans="9:11" ht="12.75">
      <c r="I746" s="2"/>
      <c r="K746" s="2"/>
    </row>
    <row r="747" spans="9:11" ht="12.75">
      <c r="I747" s="2"/>
      <c r="K747" s="2"/>
    </row>
    <row r="748" spans="9:11" ht="12.75">
      <c r="I748" s="2"/>
      <c r="K748" s="2"/>
    </row>
    <row r="749" spans="9:11" ht="12.75">
      <c r="I749" s="2"/>
      <c r="K749" s="2"/>
    </row>
    <row r="750" spans="9:11" ht="12.75">
      <c r="I750" s="2"/>
      <c r="K750" s="2"/>
    </row>
    <row r="751" spans="9:11" ht="12.75">
      <c r="I751" s="2"/>
      <c r="K751" s="2"/>
    </row>
    <row r="752" spans="9:11" ht="12.75">
      <c r="I752" s="2"/>
      <c r="K752" s="2"/>
    </row>
    <row r="753" spans="9:11" ht="12.75">
      <c r="I753" s="2"/>
      <c r="K753" s="2"/>
    </row>
    <row r="754" spans="9:11" ht="12.75">
      <c r="I754" s="2"/>
      <c r="K754" s="2"/>
    </row>
    <row r="755" spans="9:11" ht="12.75">
      <c r="I755" s="2"/>
      <c r="K755" s="2"/>
    </row>
    <row r="756" spans="9:11" ht="12.75">
      <c r="I756" s="2"/>
      <c r="K756" s="2"/>
    </row>
    <row r="757" spans="9:11" ht="12.75">
      <c r="I757" s="2"/>
      <c r="K757" s="2"/>
    </row>
    <row r="758" spans="9:11" ht="12.75">
      <c r="I758" s="2"/>
      <c r="K758" s="2"/>
    </row>
    <row r="759" spans="9:11" ht="12.75">
      <c r="I759" s="2"/>
      <c r="K759" s="2"/>
    </row>
    <row r="760" spans="9:11" ht="12.75">
      <c r="I760" s="2"/>
      <c r="K760" s="2"/>
    </row>
    <row r="761" spans="9:11" ht="12.75">
      <c r="I761" s="2"/>
      <c r="K761" s="2"/>
    </row>
    <row r="762" spans="9:11" ht="12.75">
      <c r="I762" s="2"/>
      <c r="K762" s="2"/>
    </row>
    <row r="763" spans="9:11" ht="12.75">
      <c r="I763" s="2"/>
      <c r="K763" s="2"/>
    </row>
    <row r="764" spans="9:11" ht="12.75">
      <c r="I764" s="2"/>
      <c r="K764" s="2"/>
    </row>
    <row r="765" spans="9:11" ht="12.75">
      <c r="I765" s="2"/>
      <c r="K765" s="2"/>
    </row>
    <row r="766" spans="9:11" ht="12.75">
      <c r="I766" s="2"/>
      <c r="K766" s="2"/>
    </row>
    <row r="767" spans="9:11" ht="12.75">
      <c r="I767" s="2"/>
      <c r="K767" s="2"/>
    </row>
    <row r="768" spans="9:11" ht="12.75">
      <c r="I768" s="2"/>
      <c r="K768" s="2"/>
    </row>
    <row r="769" spans="9:11" ht="12.75">
      <c r="I769" s="2"/>
      <c r="K769" s="2"/>
    </row>
    <row r="770" spans="9:11" ht="12.75">
      <c r="I770" s="2"/>
      <c r="K770" s="2"/>
    </row>
    <row r="771" spans="9:11" ht="12.75">
      <c r="I771" s="2"/>
      <c r="K771" s="2"/>
    </row>
    <row r="772" spans="9:11" ht="12.75">
      <c r="I772" s="2"/>
      <c r="K772" s="2"/>
    </row>
    <row r="773" spans="9:11" ht="12.75">
      <c r="I773" s="2"/>
      <c r="K773" s="2"/>
    </row>
    <row r="774" spans="9:11" ht="12.75">
      <c r="I774" s="2"/>
      <c r="K774" s="2"/>
    </row>
    <row r="775" spans="9:11" ht="12.75">
      <c r="I775" s="2"/>
      <c r="K775" s="2"/>
    </row>
    <row r="776" spans="9:11" ht="12.75">
      <c r="I776" s="2"/>
      <c r="K776" s="2"/>
    </row>
    <row r="777" spans="9:11" ht="12.75">
      <c r="I777" s="2"/>
      <c r="K777" s="2"/>
    </row>
    <row r="778" spans="9:11" ht="12.75">
      <c r="I778" s="2"/>
      <c r="K778" s="2"/>
    </row>
    <row r="779" spans="9:11" ht="12.75">
      <c r="I779" s="2"/>
      <c r="K779" s="2"/>
    </row>
    <row r="780" spans="9:11" ht="12.75">
      <c r="I780" s="2"/>
      <c r="K780" s="2"/>
    </row>
    <row r="781" spans="9:11" ht="12.75">
      <c r="I781" s="2"/>
      <c r="K781" s="2"/>
    </row>
    <row r="782" spans="9:11" ht="12.75">
      <c r="I782" s="2"/>
      <c r="K782" s="2"/>
    </row>
    <row r="783" spans="9:11" ht="12.75">
      <c r="I783" s="2"/>
      <c r="K783" s="2"/>
    </row>
    <row r="784" spans="9:11" ht="12.75">
      <c r="I784" s="2"/>
      <c r="K784" s="2"/>
    </row>
    <row r="785" spans="9:11" ht="12.75">
      <c r="I785" s="2"/>
      <c r="K785" s="2"/>
    </row>
    <row r="786" spans="9:11" ht="12.75">
      <c r="I786" s="2"/>
      <c r="K786" s="2"/>
    </row>
    <row r="787" spans="9:11" ht="12.75">
      <c r="I787" s="2"/>
      <c r="K787" s="2"/>
    </row>
    <row r="788" spans="9:11" ht="12.75">
      <c r="I788" s="2"/>
      <c r="K788" s="2"/>
    </row>
    <row r="789" spans="9:11" ht="12.75">
      <c r="I789" s="2"/>
      <c r="K789" s="2"/>
    </row>
    <row r="790" spans="9:11" ht="12.75">
      <c r="I790" s="2"/>
      <c r="K790" s="2"/>
    </row>
    <row r="791" spans="9:11" ht="12.75">
      <c r="I791" s="2"/>
      <c r="K791" s="2"/>
    </row>
    <row r="792" spans="9:11" ht="12.75">
      <c r="I792" s="2"/>
      <c r="K792" s="2"/>
    </row>
    <row r="793" spans="9:11" ht="12.75">
      <c r="I793" s="2"/>
      <c r="K793" s="2"/>
    </row>
    <row r="794" spans="9:11" ht="12.75">
      <c r="I794" s="2"/>
      <c r="K794" s="2"/>
    </row>
    <row r="795" spans="9:11" ht="12.75">
      <c r="I795" s="2"/>
      <c r="K795" s="2"/>
    </row>
    <row r="796" spans="9:11" ht="12.75">
      <c r="I796" s="2"/>
      <c r="K796" s="2"/>
    </row>
    <row r="797" spans="9:11" ht="12.75">
      <c r="I797" s="2"/>
      <c r="K797" s="2"/>
    </row>
    <row r="798" spans="9:11" ht="12.75">
      <c r="I798" s="2"/>
      <c r="K798" s="2"/>
    </row>
    <row r="799" spans="9:11" ht="12.75">
      <c r="I799" s="2"/>
      <c r="K799" s="2"/>
    </row>
    <row r="800" spans="9:11" ht="12.75">
      <c r="I800" s="2"/>
      <c r="K800" s="2"/>
    </row>
    <row r="801" spans="9:11" ht="12.75">
      <c r="I801" s="2"/>
      <c r="K801" s="2"/>
    </row>
    <row r="802" spans="9:11" ht="12.75">
      <c r="I802" s="2"/>
      <c r="K802" s="2"/>
    </row>
    <row r="803" spans="9:11" ht="12.75">
      <c r="I803" s="2"/>
      <c r="K803" s="2"/>
    </row>
    <row r="804" spans="9:11" ht="12.75">
      <c r="I804" s="2"/>
      <c r="K804" s="2"/>
    </row>
    <row r="805" spans="9:11" ht="12.75">
      <c r="I805" s="2"/>
      <c r="K805" s="2"/>
    </row>
    <row r="806" spans="9:11" ht="12.75">
      <c r="I806" s="2"/>
      <c r="K806" s="2"/>
    </row>
    <row r="807" spans="9:11" ht="12.75">
      <c r="I807" s="2"/>
      <c r="K807" s="2"/>
    </row>
    <row r="808" spans="9:11" ht="12.75">
      <c r="I808" s="2"/>
      <c r="K808" s="2"/>
    </row>
    <row r="809" spans="9:11" ht="12.75">
      <c r="I809" s="2"/>
      <c r="K809" s="2"/>
    </row>
    <row r="810" spans="9:11" ht="12.75">
      <c r="I810" s="2"/>
      <c r="K810" s="2"/>
    </row>
    <row r="811" spans="9:11" ht="12.75">
      <c r="I811" s="2"/>
      <c r="K811" s="2"/>
    </row>
    <row r="812" spans="9:11" ht="12.75">
      <c r="I812" s="2"/>
      <c r="K812" s="2"/>
    </row>
    <row r="813" spans="9:11" ht="12.75">
      <c r="I813" s="2"/>
      <c r="K813" s="2"/>
    </row>
    <row r="814" spans="9:11" ht="12.75">
      <c r="I814" s="2"/>
      <c r="K814" s="2"/>
    </row>
    <row r="815" spans="9:11" ht="12.75">
      <c r="I815" s="2"/>
      <c r="K815" s="2"/>
    </row>
    <row r="816" spans="9:11" ht="12.75">
      <c r="I816" s="2"/>
      <c r="K816" s="2"/>
    </row>
    <row r="817" spans="9:11" ht="12.75">
      <c r="I817" s="2"/>
      <c r="K817" s="2"/>
    </row>
    <row r="818" spans="9:11" ht="12.75">
      <c r="I818" s="2"/>
      <c r="K818" s="2"/>
    </row>
    <row r="819" spans="9:11" ht="12.75">
      <c r="I819" s="2"/>
      <c r="K819" s="2"/>
    </row>
    <row r="820" spans="9:11" ht="12.75">
      <c r="I820" s="2"/>
      <c r="K820" s="2"/>
    </row>
    <row r="821" spans="9:11" ht="12.75">
      <c r="I821" s="2"/>
      <c r="K821" s="2"/>
    </row>
    <row r="822" spans="9:11" ht="12.75">
      <c r="I822" s="2"/>
      <c r="K822" s="2"/>
    </row>
    <row r="823" spans="9:11" ht="12.75">
      <c r="I823" s="2"/>
      <c r="K823" s="2"/>
    </row>
    <row r="824" spans="9:11" ht="12.75">
      <c r="I824" s="2"/>
      <c r="K824" s="2"/>
    </row>
    <row r="825" spans="9:11" ht="12.75">
      <c r="I825" s="2"/>
      <c r="K825" s="2"/>
    </row>
    <row r="826" spans="9:11" ht="12.75">
      <c r="I826" s="2"/>
      <c r="K826" s="2"/>
    </row>
    <row r="827" spans="9:11" ht="12.75">
      <c r="I827" s="2"/>
      <c r="K827" s="2"/>
    </row>
    <row r="828" spans="9:11" ht="12.75">
      <c r="I828" s="2"/>
      <c r="K828" s="2"/>
    </row>
    <row r="829" spans="9:11" ht="12.75">
      <c r="I829" s="2"/>
      <c r="K829" s="2"/>
    </row>
    <row r="830" spans="9:11" ht="12.75">
      <c r="I830" s="2"/>
      <c r="K830" s="2"/>
    </row>
    <row r="831" spans="9:11" ht="12.75">
      <c r="I831" s="2"/>
      <c r="K831" s="2"/>
    </row>
    <row r="832" spans="9:11" ht="12.75">
      <c r="I832" s="2"/>
      <c r="K832" s="2"/>
    </row>
    <row r="833" spans="9:11" ht="12.75">
      <c r="I833" s="2"/>
      <c r="K833" s="2"/>
    </row>
    <row r="834" spans="9:11" ht="12.75">
      <c r="I834" s="2"/>
      <c r="K834" s="2"/>
    </row>
    <row r="835" spans="9:11" ht="12.75">
      <c r="I835" s="2"/>
      <c r="K835" s="2"/>
    </row>
    <row r="836" spans="9:11" ht="12.75">
      <c r="I836" s="2"/>
      <c r="K836" s="2"/>
    </row>
    <row r="837" spans="9:11" ht="12.75">
      <c r="I837" s="2"/>
      <c r="K837" s="2"/>
    </row>
    <row r="838" spans="9:11" ht="12.75">
      <c r="I838" s="2"/>
      <c r="K838" s="2"/>
    </row>
    <row r="839" spans="9:11" ht="12.75">
      <c r="I839" s="2"/>
      <c r="K839" s="2"/>
    </row>
    <row r="840" spans="9:11" ht="12.75">
      <c r="I840" s="2"/>
      <c r="K840" s="2"/>
    </row>
    <row r="841" spans="9:11" ht="12.75">
      <c r="I841" s="2"/>
      <c r="K841" s="2"/>
    </row>
    <row r="842" spans="9:11" ht="12.75">
      <c r="I842" s="2"/>
      <c r="K842" s="2"/>
    </row>
    <row r="843" spans="9:11" ht="12.75">
      <c r="I843" s="2"/>
      <c r="K843" s="2"/>
    </row>
    <row r="844" spans="9:11" ht="12.75">
      <c r="I844" s="2"/>
      <c r="K844" s="2"/>
    </row>
    <row r="845" spans="9:11" ht="12.75">
      <c r="I845" s="2"/>
      <c r="K845" s="2"/>
    </row>
    <row r="846" spans="9:11" ht="12.75">
      <c r="I846" s="2"/>
      <c r="K846" s="2"/>
    </row>
    <row r="847" spans="9:11" ht="12.75">
      <c r="I847" s="2"/>
      <c r="K847" s="2"/>
    </row>
    <row r="848" spans="9:11" ht="12.75">
      <c r="I848" s="2"/>
      <c r="K848" s="2"/>
    </row>
    <row r="849" spans="9:11" ht="12.75">
      <c r="I849" s="2"/>
      <c r="K849" s="2"/>
    </row>
    <row r="850" spans="9:11" ht="12.75">
      <c r="I850" s="2"/>
      <c r="K850" s="2"/>
    </row>
    <row r="851" spans="9:11" ht="12.75">
      <c r="I851" s="2"/>
      <c r="K851" s="2"/>
    </row>
    <row r="852" spans="9:11" ht="12.75">
      <c r="I852" s="2"/>
      <c r="K852" s="2"/>
    </row>
    <row r="853" spans="9:11" ht="12.75">
      <c r="I853" s="2"/>
      <c r="K853" s="2"/>
    </row>
    <row r="854" spans="9:11" ht="12.75">
      <c r="I854" s="2"/>
      <c r="K854" s="2"/>
    </row>
    <row r="855" spans="9:11" ht="12.75">
      <c r="I855" s="2"/>
      <c r="K855" s="2"/>
    </row>
    <row r="856" spans="9:11" ht="12.75">
      <c r="I856" s="2"/>
      <c r="K856" s="2"/>
    </row>
    <row r="857" spans="9:11" ht="12.75">
      <c r="I857" s="2"/>
      <c r="K857" s="2"/>
    </row>
    <row r="858" spans="9:11" ht="12.75">
      <c r="I858" s="2"/>
      <c r="K858" s="2"/>
    </row>
    <row r="859" spans="9:11" ht="12.75">
      <c r="I859" s="2"/>
      <c r="K859" s="2"/>
    </row>
    <row r="860" spans="9:11" ht="12.75">
      <c r="I860" s="2"/>
      <c r="K860" s="2"/>
    </row>
    <row r="861" spans="9:11" ht="12.75">
      <c r="I861" s="2"/>
      <c r="K861" s="2"/>
    </row>
    <row r="862" spans="9:11" ht="12.75">
      <c r="I862" s="2"/>
      <c r="K862" s="2"/>
    </row>
    <row r="863" spans="9:11" ht="12.75">
      <c r="I863" s="2"/>
      <c r="K863" s="2"/>
    </row>
    <row r="864" spans="9:11" ht="12.75">
      <c r="I864" s="2"/>
      <c r="K864" s="2"/>
    </row>
    <row r="865" spans="9:11" ht="12.75">
      <c r="I865" s="2"/>
      <c r="K865" s="2"/>
    </row>
    <row r="866" spans="9:11" ht="12.75">
      <c r="I866" s="2"/>
      <c r="K866" s="2"/>
    </row>
    <row r="867" spans="9:11" ht="12.75">
      <c r="I867" s="2"/>
      <c r="K867" s="2"/>
    </row>
    <row r="868" spans="9:11" ht="12.75">
      <c r="I868" s="2"/>
      <c r="K868" s="2"/>
    </row>
    <row r="869" spans="9:11" ht="12.75">
      <c r="I869" s="2"/>
      <c r="K869" s="2"/>
    </row>
    <row r="870" spans="9:11" ht="12.75">
      <c r="I870" s="2"/>
      <c r="K870" s="2"/>
    </row>
    <row r="871" spans="9:11" ht="12.75">
      <c r="I871" s="2"/>
      <c r="K871" s="2"/>
    </row>
    <row r="872" spans="9:11" ht="12.75">
      <c r="I872" s="2"/>
      <c r="K872" s="2"/>
    </row>
    <row r="873" spans="9:11" ht="12.75">
      <c r="I873" s="2"/>
      <c r="K873" s="2"/>
    </row>
    <row r="874" spans="9:11" ht="12.75">
      <c r="I874" s="2"/>
      <c r="K874" s="2"/>
    </row>
    <row r="875" spans="9:11" ht="12.75">
      <c r="I875" s="2"/>
      <c r="K875" s="2"/>
    </row>
    <row r="876" spans="9:11" ht="12.75">
      <c r="I876" s="2"/>
      <c r="K876" s="2"/>
    </row>
    <row r="877" spans="9:11" ht="12.75">
      <c r="I877" s="2"/>
      <c r="K877" s="2"/>
    </row>
    <row r="878" spans="9:11" ht="12.75">
      <c r="I878" s="2"/>
      <c r="K878" s="2"/>
    </row>
    <row r="879" spans="9:11" ht="12.75">
      <c r="I879" s="2"/>
      <c r="K879" s="2"/>
    </row>
    <row r="880" spans="9:11" ht="12.75">
      <c r="I880" s="2"/>
      <c r="K880" s="2"/>
    </row>
    <row r="881" spans="9:11" ht="12.75">
      <c r="I881" s="2"/>
      <c r="K881" s="2"/>
    </row>
    <row r="882" spans="9:11" ht="12.75">
      <c r="I882" s="2"/>
      <c r="K882" s="2"/>
    </row>
    <row r="883" spans="9:11" ht="12.75">
      <c r="I883" s="2"/>
      <c r="K883" s="2"/>
    </row>
    <row r="884" spans="9:11" ht="12.75">
      <c r="I884" s="2"/>
      <c r="K884" s="2"/>
    </row>
    <row r="885" spans="9:11" ht="12.75">
      <c r="I885" s="2"/>
      <c r="K885" s="2"/>
    </row>
    <row r="886" spans="9:11" ht="12.75">
      <c r="I886" s="2"/>
      <c r="K886" s="2"/>
    </row>
    <row r="887" spans="9:11" ht="12.75">
      <c r="I887" s="2"/>
      <c r="K887" s="2"/>
    </row>
    <row r="888" spans="9:11" ht="12.75">
      <c r="I888" s="2"/>
      <c r="K888" s="2"/>
    </row>
    <row r="889" spans="9:11" ht="12.75">
      <c r="I889" s="2"/>
      <c r="K889" s="2"/>
    </row>
    <row r="890" spans="9:11" ht="12.75">
      <c r="I890" s="2"/>
      <c r="K890" s="2"/>
    </row>
    <row r="891" spans="9:11" ht="12.75">
      <c r="I891" s="2"/>
      <c r="K891" s="2"/>
    </row>
    <row r="892" spans="9:11" ht="12.75">
      <c r="I892" s="2"/>
      <c r="K892" s="2"/>
    </row>
    <row r="893" spans="9:11" ht="12.75">
      <c r="I893" s="2"/>
      <c r="K893" s="2"/>
    </row>
    <row r="894" spans="9:11" ht="12.75">
      <c r="I894" s="2"/>
      <c r="K894" s="2"/>
    </row>
    <row r="895" spans="9:11" ht="12.75">
      <c r="I895" s="2"/>
      <c r="K895" s="2"/>
    </row>
    <row r="896" spans="9:11" ht="12.75">
      <c r="I896" s="2"/>
      <c r="K896" s="2"/>
    </row>
    <row r="897" spans="9:11" ht="12.75">
      <c r="I897" s="2"/>
      <c r="K897" s="2"/>
    </row>
    <row r="898" spans="9:11" ht="12.75">
      <c r="I898" s="2"/>
      <c r="K898" s="2"/>
    </row>
    <row r="899" spans="9:11" ht="12.75">
      <c r="I899" s="2"/>
      <c r="K899" s="2"/>
    </row>
    <row r="900" spans="9:11" ht="12.75">
      <c r="I900" s="2"/>
      <c r="K900" s="2"/>
    </row>
    <row r="901" spans="9:11" ht="12.75">
      <c r="I901" s="2"/>
      <c r="K901" s="2"/>
    </row>
    <row r="902" spans="9:11" ht="12.75">
      <c r="I902" s="2"/>
      <c r="K902" s="2"/>
    </row>
    <row r="903" spans="9:11" ht="12.75">
      <c r="I903" s="2"/>
      <c r="K903" s="2"/>
    </row>
    <row r="904" spans="9:11" ht="12.75">
      <c r="I904" s="2"/>
      <c r="K904" s="2"/>
    </row>
    <row r="905" spans="9:11" ht="12.75">
      <c r="I905" s="2"/>
      <c r="K905" s="2"/>
    </row>
    <row r="906" spans="9:11" ht="12.75">
      <c r="I906" s="2"/>
      <c r="K906" s="2"/>
    </row>
    <row r="907" spans="9:11" ht="12.75">
      <c r="I907" s="2"/>
      <c r="K907" s="2"/>
    </row>
    <row r="908" spans="9:11" ht="12.75">
      <c r="I908" s="2"/>
      <c r="K908" s="2"/>
    </row>
    <row r="909" spans="9:11" ht="12.75">
      <c r="I909" s="2"/>
      <c r="K909" s="2"/>
    </row>
    <row r="910" spans="9:11" ht="12.75">
      <c r="I910" s="2"/>
      <c r="K910" s="2"/>
    </row>
    <row r="911" spans="9:11" ht="12.75">
      <c r="I911" s="2"/>
      <c r="K911" s="2"/>
    </row>
    <row r="912" spans="9:11" ht="12.75">
      <c r="I912" s="2"/>
      <c r="K912" s="2"/>
    </row>
    <row r="913" spans="9:11" ht="12.75">
      <c r="I913" s="2"/>
      <c r="K913" s="2"/>
    </row>
    <row r="914" spans="9:11" ht="12.75">
      <c r="I914" s="2"/>
      <c r="K914" s="2"/>
    </row>
    <row r="915" spans="9:11" ht="12.75">
      <c r="I915" s="2"/>
      <c r="K915" s="2"/>
    </row>
    <row r="916" spans="9:11" ht="12.75">
      <c r="I916" s="2"/>
      <c r="K916" s="2"/>
    </row>
    <row r="917" spans="9:11" ht="12.75">
      <c r="I917" s="2"/>
      <c r="K917" s="2"/>
    </row>
    <row r="918" spans="9:11" ht="12.75">
      <c r="I918" s="2"/>
      <c r="K918" s="2"/>
    </row>
    <row r="919" spans="9:11" ht="12.75">
      <c r="I919" s="2"/>
      <c r="K919" s="2"/>
    </row>
    <row r="920" spans="9:11" ht="12.75">
      <c r="I920" s="2"/>
      <c r="K920" s="2"/>
    </row>
    <row r="921" spans="9:11" ht="12.75">
      <c r="I921" s="2"/>
      <c r="K921" s="2"/>
    </row>
    <row r="922" spans="9:11" ht="12.75">
      <c r="I922" s="2"/>
      <c r="K922" s="2"/>
    </row>
    <row r="923" spans="9:11" ht="12.75">
      <c r="I923" s="2"/>
      <c r="K923" s="2"/>
    </row>
    <row r="924" spans="9:11" ht="12.75">
      <c r="I924" s="2"/>
      <c r="K924" s="2"/>
    </row>
    <row r="925" spans="9:11" ht="12.75">
      <c r="I925" s="2"/>
      <c r="K925" s="2"/>
    </row>
    <row r="926" spans="9:11" ht="12.75">
      <c r="I926" s="2"/>
      <c r="K926" s="2"/>
    </row>
    <row r="927" spans="9:11" ht="12.75">
      <c r="I927" s="2"/>
      <c r="K927" s="2"/>
    </row>
    <row r="928" spans="9:11" ht="12.75">
      <c r="I928" s="2"/>
      <c r="K928" s="2"/>
    </row>
    <row r="929" spans="9:11" ht="12.75">
      <c r="I929" s="2"/>
      <c r="K929" s="2"/>
    </row>
    <row r="930" spans="9:11" ht="12.75">
      <c r="I930" s="2"/>
      <c r="K930" s="2"/>
    </row>
    <row r="931" spans="9:11" ht="12.75">
      <c r="I931" s="2"/>
      <c r="K931" s="2"/>
    </row>
    <row r="932" spans="9:11" ht="12.75">
      <c r="I932" s="2"/>
      <c r="K932" s="2"/>
    </row>
    <row r="933" spans="9:11" ht="12.75">
      <c r="I933" s="2"/>
      <c r="K933" s="2"/>
    </row>
    <row r="934" spans="9:11" ht="12.75">
      <c r="I934" s="2"/>
      <c r="K934" s="2"/>
    </row>
    <row r="935" spans="9:11" ht="12.75">
      <c r="I935" s="2"/>
      <c r="K935" s="2"/>
    </row>
    <row r="936" spans="9:11" ht="12.75">
      <c r="I936" s="2"/>
      <c r="K936" s="2"/>
    </row>
    <row r="937" spans="9:11" ht="12.75">
      <c r="I937" s="2"/>
      <c r="K937" s="2"/>
    </row>
    <row r="938" spans="9:11" ht="12.75">
      <c r="I938" s="2"/>
      <c r="K938" s="2"/>
    </row>
    <row r="939" spans="9:11" ht="12.75">
      <c r="I939" s="2"/>
      <c r="K939" s="2"/>
    </row>
    <row r="940" spans="9:11" ht="12.75">
      <c r="I940" s="2"/>
      <c r="K940" s="2"/>
    </row>
    <row r="941" spans="9:11" ht="12.75">
      <c r="I941" s="2"/>
      <c r="K941" s="2"/>
    </row>
    <row r="942" spans="9:11" ht="12.75">
      <c r="I942" s="2"/>
      <c r="K942" s="2"/>
    </row>
    <row r="943" spans="9:11" ht="12.75">
      <c r="I943" s="2"/>
      <c r="K943" s="2"/>
    </row>
    <row r="944" spans="9:11" ht="12.75">
      <c r="I944" s="2"/>
      <c r="K944" s="2"/>
    </row>
    <row r="945" spans="9:11" ht="12.75">
      <c r="I945" s="2"/>
      <c r="K945" s="2"/>
    </row>
    <row r="946" spans="9:11" ht="12.75">
      <c r="I946" s="2"/>
      <c r="K946" s="2"/>
    </row>
    <row r="947" spans="9:11" ht="12.75">
      <c r="I947" s="2"/>
      <c r="K947" s="2"/>
    </row>
    <row r="948" spans="9:11" ht="12.75">
      <c r="I948" s="2"/>
      <c r="K948" s="2"/>
    </row>
    <row r="949" spans="9:11" ht="12.75">
      <c r="I949" s="2"/>
      <c r="K949" s="2"/>
    </row>
    <row r="950" spans="9:11" ht="12.75">
      <c r="I950" s="2"/>
      <c r="K950" s="2"/>
    </row>
    <row r="951" spans="9:11" ht="12.75">
      <c r="I951" s="2"/>
      <c r="K951" s="2"/>
    </row>
    <row r="952" spans="9:11" ht="12.75">
      <c r="I952" s="2"/>
      <c r="K952" s="2"/>
    </row>
    <row r="953" spans="9:11" ht="12.75">
      <c r="I953" s="2"/>
      <c r="K953" s="2"/>
    </row>
    <row r="954" spans="9:11" ht="12.75">
      <c r="I954" s="2"/>
      <c r="K954" s="2"/>
    </row>
    <row r="955" spans="9:11" ht="12.75">
      <c r="I955" s="2"/>
      <c r="K955" s="2"/>
    </row>
    <row r="956" spans="9:11" ht="12.75">
      <c r="I956" s="2"/>
      <c r="K956" s="2"/>
    </row>
    <row r="957" spans="9:11" ht="12.75">
      <c r="I957" s="2"/>
      <c r="K957" s="2"/>
    </row>
    <row r="958" spans="9:11" ht="12.75">
      <c r="I958" s="2"/>
      <c r="K958" s="2"/>
    </row>
    <row r="959" spans="9:11" ht="12.75">
      <c r="I959" s="2"/>
      <c r="K959" s="2"/>
    </row>
    <row r="960" spans="9:11" ht="12.75">
      <c r="I960" s="2"/>
      <c r="K960" s="2"/>
    </row>
    <row r="961" spans="9:11" ht="12.75">
      <c r="I961" s="2"/>
      <c r="K961" s="2"/>
    </row>
    <row r="962" spans="9:11" ht="12.75">
      <c r="I962" s="2"/>
      <c r="K962" s="2"/>
    </row>
    <row r="963" spans="9:11" ht="12.75">
      <c r="I963" s="2"/>
      <c r="K963" s="2"/>
    </row>
    <row r="964" spans="9:11" ht="12.75">
      <c r="I964" s="2"/>
      <c r="K964" s="2"/>
    </row>
    <row r="965" spans="9:11" ht="12.75">
      <c r="I965" s="2"/>
      <c r="K965" s="2"/>
    </row>
    <row r="966" spans="9:11" ht="12.75">
      <c r="I966" s="2"/>
      <c r="K966" s="2"/>
    </row>
  </sheetData>
  <autoFilter ref="A1"/>
  <pageMargins left="0.7" right="0.7" top="0.75" bottom="0.7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12"/>
  <sheetViews>
    <sheetView showGridLines="0" topLeftCell="C1" workbookViewId="0">
      <selection activeCell="C55" sqref="C55"/>
    </sheetView>
  </sheetViews>
  <sheetFormatPr defaultColWidth="12.5703125" defaultRowHeight="15.75" customHeight="1"/>
  <cols>
    <col min="1" max="1" width="21.85546875" customWidth="1"/>
    <col min="2" max="2" width="16.42578125" customWidth="1"/>
    <col min="3" max="3" width="106.42578125" customWidth="1"/>
    <col min="4" max="4" width="9.85546875" customWidth="1"/>
    <col min="5" max="7" width="7.5703125" customWidth="1"/>
    <col min="8" max="8" width="9.28515625" customWidth="1"/>
    <col min="9" max="9" width="8.5703125" customWidth="1"/>
    <col min="10" max="10" width="8.7109375" customWidth="1"/>
    <col min="11" max="11" width="8.42578125" customWidth="1"/>
    <col min="12" max="12" width="10.85546875" customWidth="1"/>
    <col min="13" max="13" width="7.5703125" customWidth="1"/>
    <col min="14" max="14" width="17.28515625" customWidth="1"/>
    <col min="15" max="27" width="7.5703125" customWidth="1"/>
  </cols>
  <sheetData>
    <row r="1" spans="1:15" ht="127.5" customHeight="1">
      <c r="E1" s="1"/>
      <c r="L1" s="2"/>
      <c r="N1" s="2"/>
    </row>
    <row r="2" spans="1:15" ht="15">
      <c r="A2" s="3"/>
      <c r="B2" s="3"/>
      <c r="C2" s="4" t="s">
        <v>0</v>
      </c>
      <c r="D2" s="5"/>
      <c r="E2" s="1"/>
      <c r="L2" s="2"/>
      <c r="N2" s="2"/>
    </row>
    <row r="3" spans="1:15" ht="15">
      <c r="A3" s="3"/>
      <c r="B3" s="3"/>
      <c r="C3" s="6" t="s">
        <v>1</v>
      </c>
      <c r="D3" s="6" t="s">
        <v>2</v>
      </c>
      <c r="E3" s="7"/>
      <c r="F3" s="8"/>
      <c r="G3" s="8"/>
      <c r="H3" s="8"/>
      <c r="L3" s="2"/>
      <c r="N3" s="2"/>
    </row>
    <row r="4" spans="1:15" ht="15">
      <c r="A4" s="3"/>
      <c r="B4" s="3"/>
      <c r="C4" s="9" t="s">
        <v>3</v>
      </c>
      <c r="D4" s="10" t="s">
        <v>4</v>
      </c>
      <c r="E4" s="11"/>
      <c r="F4" s="12" t="s">
        <v>5</v>
      </c>
      <c r="G4" s="12" t="s">
        <v>6</v>
      </c>
      <c r="H4" s="13" t="s">
        <v>7</v>
      </c>
      <c r="I4" s="14" t="s">
        <v>8</v>
      </c>
      <c r="J4" s="14" t="s">
        <v>8</v>
      </c>
      <c r="K4" s="15"/>
      <c r="L4" s="16"/>
      <c r="M4" s="16"/>
      <c r="N4" s="16"/>
      <c r="O4" s="1"/>
    </row>
    <row r="5" spans="1:15" ht="15">
      <c r="A5" s="3"/>
      <c r="B5" s="3"/>
      <c r="C5" s="17" t="s">
        <v>72</v>
      </c>
      <c r="D5" s="17" t="s">
        <v>9</v>
      </c>
      <c r="E5" s="1"/>
      <c r="F5" s="18"/>
      <c r="G5" s="18">
        <v>850</v>
      </c>
      <c r="H5" s="18">
        <v>1400</v>
      </c>
      <c r="I5" s="18">
        <v>1500</v>
      </c>
      <c r="J5" s="18">
        <v>1500</v>
      </c>
      <c r="K5" s="20"/>
      <c r="L5" s="21"/>
      <c r="M5" s="20"/>
      <c r="N5" s="21"/>
      <c r="O5" s="1"/>
    </row>
    <row r="6" spans="1:15" ht="15">
      <c r="A6" s="3"/>
      <c r="B6" s="3"/>
      <c r="C6" s="19" t="s">
        <v>12</v>
      </c>
      <c r="E6" s="1"/>
      <c r="F6" s="18"/>
      <c r="G6" s="18"/>
      <c r="I6" s="18"/>
      <c r="J6" s="18"/>
      <c r="K6" s="23"/>
      <c r="L6" s="24"/>
      <c r="M6" s="25"/>
      <c r="N6" s="24"/>
      <c r="O6" s="1"/>
    </row>
    <row r="7" spans="1:15" ht="15">
      <c r="A7" s="3"/>
      <c r="B7" s="3"/>
      <c r="C7" s="17" t="s">
        <v>14</v>
      </c>
      <c r="E7" s="1"/>
      <c r="F7" s="28"/>
      <c r="G7" s="28"/>
      <c r="H7" s="28"/>
      <c r="I7" s="28"/>
      <c r="J7" s="28"/>
      <c r="K7" s="29"/>
      <c r="L7" s="24"/>
      <c r="M7" s="25"/>
      <c r="N7" s="24"/>
      <c r="O7" s="1"/>
    </row>
    <row r="8" spans="1:15" ht="15">
      <c r="A8" s="3"/>
      <c r="B8" s="3"/>
      <c r="C8" s="9" t="s">
        <v>15</v>
      </c>
      <c r="D8" s="30"/>
      <c r="E8" s="11"/>
      <c r="F8" s="12" t="s">
        <v>5</v>
      </c>
      <c r="G8" s="12" t="s">
        <v>6</v>
      </c>
      <c r="H8" s="13" t="s">
        <v>7</v>
      </c>
      <c r="I8" s="14" t="s">
        <v>8</v>
      </c>
      <c r="J8" s="14" t="s">
        <v>8</v>
      </c>
      <c r="K8" s="15"/>
      <c r="L8" s="16"/>
      <c r="M8" s="16"/>
      <c r="N8" s="32"/>
      <c r="O8" s="1"/>
    </row>
    <row r="9" spans="1:15" ht="12.75">
      <c r="C9" s="17" t="s">
        <v>18</v>
      </c>
      <c r="D9" s="17" t="s">
        <v>19</v>
      </c>
      <c r="E9" s="34"/>
      <c r="F9" s="28"/>
      <c r="G9" s="28"/>
      <c r="H9" s="18">
        <v>1400</v>
      </c>
      <c r="I9" s="18">
        <v>1500</v>
      </c>
      <c r="J9" s="18">
        <v>1500</v>
      </c>
      <c r="K9" s="16"/>
      <c r="L9" s="16"/>
      <c r="M9" s="16"/>
      <c r="N9" s="16"/>
      <c r="O9" s="1"/>
    </row>
    <row r="10" spans="1:15" ht="12.75">
      <c r="A10" s="35"/>
      <c r="B10" s="35"/>
      <c r="C10" s="36" t="s">
        <v>20</v>
      </c>
      <c r="E10" s="1"/>
      <c r="F10" s="18">
        <v>1300</v>
      </c>
      <c r="G10" s="18"/>
      <c r="H10" s="28"/>
      <c r="I10" s="28"/>
      <c r="J10" s="28"/>
      <c r="K10" s="39"/>
      <c r="L10" s="16"/>
      <c r="M10" s="16"/>
      <c r="N10" s="16"/>
      <c r="O10" s="1"/>
    </row>
    <row r="11" spans="1:15" ht="12.75">
      <c r="C11" s="17" t="s">
        <v>14</v>
      </c>
      <c r="E11" s="1"/>
      <c r="F11" s="28"/>
      <c r="G11" s="28"/>
      <c r="H11" s="28"/>
      <c r="I11" s="28"/>
      <c r="J11" s="28"/>
      <c r="K11" s="15"/>
      <c r="L11" s="16"/>
      <c r="M11" s="16"/>
      <c r="N11" s="16"/>
      <c r="O11" s="1"/>
    </row>
    <row r="12" spans="1:15" ht="15">
      <c r="A12" s="26"/>
      <c r="B12" s="26"/>
      <c r="C12" s="9" t="s">
        <v>23</v>
      </c>
      <c r="D12" s="30"/>
      <c r="E12" s="11"/>
      <c r="F12" s="12" t="s">
        <v>5</v>
      </c>
      <c r="G12" s="12" t="s">
        <v>6</v>
      </c>
      <c r="H12" s="13" t="s">
        <v>7</v>
      </c>
      <c r="I12" s="13" t="s">
        <v>7</v>
      </c>
      <c r="J12" s="14" t="s">
        <v>8</v>
      </c>
      <c r="K12" s="20"/>
      <c r="L12" s="20"/>
      <c r="M12" s="20"/>
      <c r="N12" s="20"/>
      <c r="O12" s="1"/>
    </row>
    <row r="13" spans="1:15" ht="15">
      <c r="A13" s="35"/>
      <c r="B13" s="35"/>
      <c r="C13" s="17" t="s">
        <v>18</v>
      </c>
      <c r="D13" s="17" t="s">
        <v>24</v>
      </c>
      <c r="E13" s="1"/>
      <c r="F13" s="18"/>
      <c r="G13" s="28"/>
      <c r="H13" s="18">
        <v>1500</v>
      </c>
      <c r="I13" s="18">
        <v>1500</v>
      </c>
      <c r="J13" s="18">
        <v>2000</v>
      </c>
      <c r="K13" s="23"/>
      <c r="L13" s="24"/>
      <c r="M13" s="25"/>
      <c r="N13" s="24"/>
      <c r="O13" s="1"/>
    </row>
    <row r="14" spans="1:15" ht="15">
      <c r="A14" s="35"/>
      <c r="B14" s="35"/>
      <c r="C14" s="19" t="s">
        <v>26</v>
      </c>
      <c r="E14" s="1"/>
      <c r="F14" s="18"/>
      <c r="G14" s="28"/>
      <c r="H14" s="18"/>
      <c r="I14" s="18"/>
      <c r="J14" s="18"/>
      <c r="K14" s="23"/>
      <c r="L14" s="24"/>
      <c r="M14" s="25"/>
      <c r="N14" s="24"/>
      <c r="O14" s="1"/>
    </row>
    <row r="15" spans="1:15" ht="15">
      <c r="A15" s="35"/>
      <c r="B15" s="35"/>
      <c r="C15" s="17" t="s">
        <v>73</v>
      </c>
      <c r="E15" s="34"/>
      <c r="F15" s="18"/>
      <c r="G15" s="18">
        <v>850</v>
      </c>
      <c r="H15" s="18"/>
      <c r="I15" s="18"/>
      <c r="J15" s="18"/>
      <c r="K15" s="23"/>
      <c r="L15" s="24"/>
      <c r="M15" s="25"/>
      <c r="N15" s="24"/>
      <c r="O15" s="1"/>
    </row>
    <row r="16" spans="1:15" ht="15">
      <c r="A16" s="43"/>
      <c r="B16" s="43"/>
      <c r="C16" s="17" t="s">
        <v>74</v>
      </c>
      <c r="E16" s="1"/>
      <c r="F16" s="28"/>
      <c r="G16" s="18">
        <v>1000</v>
      </c>
      <c r="H16" s="28"/>
      <c r="I16" s="28"/>
      <c r="J16" s="28"/>
      <c r="K16" s="23"/>
      <c r="L16" s="24"/>
      <c r="M16" s="25"/>
      <c r="N16" s="24"/>
      <c r="O16" s="1"/>
    </row>
    <row r="17" spans="1:15" ht="12.75">
      <c r="C17" s="40" t="s">
        <v>27</v>
      </c>
      <c r="E17" s="1"/>
      <c r="F17" s="18"/>
      <c r="G17" s="28"/>
      <c r="H17" s="28"/>
      <c r="I17" s="28"/>
      <c r="J17" s="28"/>
      <c r="K17" s="15"/>
      <c r="L17" s="16"/>
      <c r="M17" s="16"/>
      <c r="N17" s="32"/>
      <c r="O17" s="1"/>
    </row>
    <row r="18" spans="1:15" ht="15">
      <c r="A18" s="26"/>
      <c r="B18" s="26"/>
      <c r="C18" s="44" t="s">
        <v>29</v>
      </c>
      <c r="E18" s="1"/>
      <c r="F18" s="18">
        <v>1150</v>
      </c>
      <c r="G18" s="28"/>
      <c r="H18" s="28"/>
      <c r="I18" s="28"/>
      <c r="J18" s="28"/>
      <c r="K18" s="1"/>
      <c r="L18" s="45"/>
      <c r="M18" s="1"/>
      <c r="N18" s="45"/>
      <c r="O18" s="1"/>
    </row>
    <row r="19" spans="1:15" ht="12.75">
      <c r="C19" s="17" t="s">
        <v>14</v>
      </c>
      <c r="E19" s="1"/>
      <c r="F19" s="28"/>
      <c r="G19" s="28"/>
      <c r="H19" s="28"/>
      <c r="I19" s="28"/>
      <c r="J19" s="28"/>
      <c r="K19" s="1"/>
      <c r="L19" s="45"/>
      <c r="M19" s="1"/>
      <c r="N19" s="45"/>
      <c r="O19" s="1"/>
    </row>
    <row r="20" spans="1:15" ht="15">
      <c r="A20" s="43"/>
      <c r="B20" s="43"/>
      <c r="C20" s="9" t="s">
        <v>32</v>
      </c>
      <c r="D20" s="30"/>
      <c r="E20" s="11"/>
      <c r="F20" s="12" t="s">
        <v>5</v>
      </c>
      <c r="G20" s="12" t="s">
        <v>6</v>
      </c>
      <c r="H20" s="13" t="s">
        <v>7</v>
      </c>
      <c r="I20" s="13" t="s">
        <v>7</v>
      </c>
      <c r="J20" s="14" t="s">
        <v>8</v>
      </c>
      <c r="K20" s="1"/>
      <c r="L20" s="45"/>
      <c r="M20" s="1"/>
      <c r="N20" s="45"/>
      <c r="O20" s="1"/>
    </row>
    <row r="21" spans="1:15" ht="12.75">
      <c r="C21" s="17" t="s">
        <v>18</v>
      </c>
      <c r="D21" s="19" t="s">
        <v>19</v>
      </c>
      <c r="E21" s="1"/>
      <c r="F21" s="18"/>
      <c r="G21" s="28"/>
      <c r="H21" s="18">
        <v>1500</v>
      </c>
      <c r="I21" s="18">
        <v>1500</v>
      </c>
      <c r="J21" s="18">
        <v>2000</v>
      </c>
      <c r="K21" s="1"/>
      <c r="L21" s="45"/>
      <c r="M21" s="1"/>
      <c r="N21" s="45"/>
      <c r="O21" s="1"/>
    </row>
    <row r="22" spans="1:15" ht="15">
      <c r="C22" s="46" t="s">
        <v>34</v>
      </c>
      <c r="E22" s="34"/>
      <c r="F22" s="18">
        <v>1450</v>
      </c>
      <c r="G22" s="28"/>
      <c r="H22" s="18"/>
      <c r="I22" s="18"/>
      <c r="J22" s="18"/>
      <c r="L22" s="2"/>
      <c r="N22" s="2"/>
    </row>
    <row r="23" spans="1:15" ht="15.75" customHeight="1">
      <c r="C23" s="17" t="s">
        <v>14</v>
      </c>
      <c r="E23" s="1"/>
      <c r="F23" s="18"/>
      <c r="G23" s="28"/>
      <c r="H23" s="18"/>
      <c r="I23" s="18"/>
      <c r="J23" s="18"/>
      <c r="L23" s="2"/>
      <c r="N23" s="2"/>
    </row>
    <row r="24" spans="1:15" ht="15.75" customHeight="1">
      <c r="C24" s="9" t="s">
        <v>36</v>
      </c>
      <c r="D24" s="30"/>
      <c r="E24" s="11"/>
      <c r="F24" s="12" t="s">
        <v>5</v>
      </c>
      <c r="G24" s="12" t="s">
        <v>6</v>
      </c>
      <c r="H24" s="13" t="s">
        <v>7</v>
      </c>
      <c r="I24" s="13" t="s">
        <v>7</v>
      </c>
      <c r="J24" s="14" t="s">
        <v>8</v>
      </c>
      <c r="L24" s="2"/>
      <c r="N24" s="2"/>
    </row>
    <row r="25" spans="1:15" ht="15.75" customHeight="1">
      <c r="C25" s="17" t="s">
        <v>18</v>
      </c>
      <c r="D25" s="17" t="s">
        <v>37</v>
      </c>
      <c r="E25" s="1"/>
      <c r="F25" s="18"/>
      <c r="G25" s="28"/>
      <c r="H25" s="18">
        <v>1500</v>
      </c>
      <c r="I25" s="18">
        <v>1500</v>
      </c>
      <c r="J25" s="18">
        <v>2000</v>
      </c>
      <c r="L25" s="2"/>
      <c r="N25" s="2"/>
    </row>
    <row r="26" spans="1:15" ht="12.75">
      <c r="C26" s="48" t="s">
        <v>39</v>
      </c>
      <c r="E26" s="34"/>
      <c r="F26" s="18"/>
      <c r="G26" s="28"/>
      <c r="H26" s="18"/>
      <c r="I26" s="18"/>
      <c r="J26" s="18"/>
      <c r="L26" s="2"/>
      <c r="N26" s="2"/>
    </row>
    <row r="27" spans="1:15" ht="12.75">
      <c r="C27" s="17" t="s">
        <v>14</v>
      </c>
      <c r="E27" s="1"/>
      <c r="F27" s="18"/>
      <c r="G27" s="28"/>
      <c r="H27" s="18"/>
      <c r="I27" s="18"/>
      <c r="J27" s="18"/>
      <c r="L27" s="2"/>
      <c r="N27" s="2"/>
    </row>
    <row r="28" spans="1:15" ht="15">
      <c r="C28" s="9" t="s">
        <v>40</v>
      </c>
      <c r="D28" s="30"/>
      <c r="E28" s="11"/>
      <c r="F28" s="12" t="s">
        <v>5</v>
      </c>
      <c r="G28" s="12" t="s">
        <v>6</v>
      </c>
      <c r="H28" s="13" t="s">
        <v>7</v>
      </c>
      <c r="I28" s="13" t="s">
        <v>7</v>
      </c>
      <c r="J28" s="14" t="s">
        <v>8</v>
      </c>
      <c r="K28" s="50"/>
      <c r="L28" s="50"/>
      <c r="M28" s="50"/>
      <c r="N28" s="45"/>
    </row>
    <row r="29" spans="1:15" ht="12.75">
      <c r="C29" s="17" t="s">
        <v>18</v>
      </c>
      <c r="D29" s="17" t="s">
        <v>37</v>
      </c>
      <c r="E29" s="34"/>
      <c r="F29" s="18"/>
      <c r="G29" s="28"/>
      <c r="H29" s="28"/>
      <c r="I29" s="28"/>
      <c r="J29" s="28"/>
      <c r="K29" s="34"/>
      <c r="L29" s="34"/>
      <c r="M29" s="34"/>
      <c r="N29" s="45"/>
    </row>
    <row r="30" spans="1:15" ht="38.25">
      <c r="C30" s="51" t="s">
        <v>42</v>
      </c>
      <c r="E30" s="34"/>
      <c r="F30" s="18"/>
      <c r="G30" s="28"/>
      <c r="H30" s="28"/>
      <c r="I30" s="28"/>
      <c r="J30" s="28"/>
      <c r="K30" s="34"/>
      <c r="L30" s="34"/>
      <c r="M30" s="34"/>
      <c r="N30" s="45"/>
    </row>
    <row r="31" spans="1:15" ht="15">
      <c r="C31" s="17" t="s">
        <v>44</v>
      </c>
      <c r="E31" s="1"/>
      <c r="F31" s="18"/>
      <c r="G31" s="18">
        <v>1000</v>
      </c>
      <c r="H31" s="28"/>
      <c r="I31" s="28"/>
      <c r="J31" s="28"/>
      <c r="K31" s="34"/>
      <c r="L31" s="34"/>
      <c r="M31" s="1"/>
      <c r="N31" s="45"/>
    </row>
    <row r="32" spans="1:15" ht="15">
      <c r="C32" s="17" t="s">
        <v>75</v>
      </c>
      <c r="E32" s="1"/>
      <c r="F32" s="12" t="s">
        <v>5</v>
      </c>
      <c r="G32" s="12" t="s">
        <v>6</v>
      </c>
      <c r="H32" s="13" t="s">
        <v>7</v>
      </c>
      <c r="I32" s="13" t="s">
        <v>7</v>
      </c>
      <c r="J32" s="14" t="s">
        <v>8</v>
      </c>
      <c r="K32" s="1"/>
      <c r="L32" s="34"/>
      <c r="M32" s="1"/>
      <c r="N32" s="45"/>
    </row>
    <row r="33" spans="3:17" ht="15">
      <c r="E33" s="11"/>
      <c r="F33" s="28"/>
      <c r="G33" s="28">
        <f t="shared" ref="G33:J33" si="0">SUM(G2:G31)</f>
        <v>3700</v>
      </c>
      <c r="H33" s="28">
        <f t="shared" si="0"/>
        <v>7300</v>
      </c>
      <c r="I33" s="28">
        <f t="shared" si="0"/>
        <v>7500</v>
      </c>
      <c r="J33" s="28">
        <f t="shared" si="0"/>
        <v>9000</v>
      </c>
      <c r="K33" s="50"/>
      <c r="L33" s="50"/>
      <c r="M33" s="50"/>
      <c r="N33" s="45"/>
    </row>
    <row r="34" spans="3:17" ht="15">
      <c r="C34" s="52" t="s">
        <v>46</v>
      </c>
      <c r="D34" s="53"/>
      <c r="E34" s="1"/>
      <c r="F34" s="28">
        <f>SUM(F2:F31)</f>
        <v>3900</v>
      </c>
      <c r="G34" s="54">
        <f t="shared" ref="G34:J34" si="1">SUM(G33/2)</f>
        <v>1850</v>
      </c>
      <c r="H34" s="28">
        <f t="shared" si="1"/>
        <v>3650</v>
      </c>
      <c r="I34" s="28">
        <f t="shared" si="1"/>
        <v>3750</v>
      </c>
      <c r="J34" s="28">
        <f t="shared" si="1"/>
        <v>4500</v>
      </c>
      <c r="K34" s="1"/>
      <c r="L34" s="1"/>
      <c r="M34" s="1"/>
      <c r="N34" s="45"/>
    </row>
    <row r="35" spans="3:17" ht="15">
      <c r="C35" s="47"/>
      <c r="D35" s="56"/>
      <c r="E35" s="1"/>
      <c r="F35" s="57" t="s">
        <v>48</v>
      </c>
      <c r="G35" s="58"/>
      <c r="H35" s="58"/>
      <c r="I35" s="59"/>
      <c r="J35" s="59"/>
      <c r="K35" s="1"/>
      <c r="L35" s="1"/>
      <c r="M35" s="1"/>
      <c r="N35" s="45"/>
    </row>
    <row r="36" spans="3:17" ht="15">
      <c r="C36" s="37" t="s">
        <v>49</v>
      </c>
      <c r="E36" s="1"/>
      <c r="F36" s="28"/>
      <c r="G36" s="18"/>
      <c r="H36" s="28">
        <f>SUM(F34+G34+H34)</f>
        <v>9400</v>
      </c>
      <c r="I36" s="28">
        <f>SUM(F34+G34+I34)</f>
        <v>9500</v>
      </c>
      <c r="J36" s="28">
        <f>SUM(F34+G34+J34)</f>
        <v>10250</v>
      </c>
      <c r="K36" s="60"/>
      <c r="L36" s="60"/>
      <c r="M36" s="60"/>
      <c r="N36" s="45"/>
      <c r="O36" s="1"/>
      <c r="P36" s="1"/>
      <c r="Q36" s="1"/>
    </row>
    <row r="37" spans="3:17" ht="15">
      <c r="C37" s="19" t="s">
        <v>52</v>
      </c>
      <c r="E37" s="1"/>
      <c r="F37" s="28"/>
      <c r="G37" s="28"/>
      <c r="H37" s="28"/>
      <c r="I37" s="28"/>
      <c r="J37" s="28"/>
      <c r="K37" s="1"/>
      <c r="L37" s="34"/>
      <c r="M37" s="1"/>
      <c r="N37" s="61"/>
      <c r="O37" s="62"/>
      <c r="P37" s="1"/>
      <c r="Q37" s="1"/>
    </row>
    <row r="38" spans="3:17" ht="15">
      <c r="C38" s="17" t="s">
        <v>53</v>
      </c>
      <c r="E38" s="1"/>
      <c r="F38" s="28"/>
      <c r="G38" s="63">
        <v>0.25</v>
      </c>
      <c r="H38" s="64">
        <f>SUM(H36*125/100)</f>
        <v>11750</v>
      </c>
      <c r="I38" s="64">
        <f>SUM(I36*125/100)</f>
        <v>11875</v>
      </c>
      <c r="J38" s="64">
        <f>SUM(J36*125/100)</f>
        <v>12812.5</v>
      </c>
      <c r="K38" s="1"/>
      <c r="L38" s="1"/>
      <c r="M38" s="1"/>
      <c r="N38" s="45"/>
      <c r="O38" s="1"/>
      <c r="P38" s="1"/>
      <c r="Q38" s="1"/>
    </row>
    <row r="39" spans="3:17" ht="15">
      <c r="C39" s="17" t="s">
        <v>55</v>
      </c>
      <c r="E39" s="1"/>
      <c r="F39" s="28"/>
      <c r="G39" s="65" t="s">
        <v>56</v>
      </c>
      <c r="H39" s="67">
        <f t="shared" ref="H39:J39" si="2">H38-H36</f>
        <v>2350</v>
      </c>
      <c r="I39" s="67">
        <f t="shared" si="2"/>
        <v>2375</v>
      </c>
      <c r="J39" s="67">
        <f t="shared" si="2"/>
        <v>2562.5</v>
      </c>
      <c r="K39" s="1"/>
      <c r="L39" s="68"/>
      <c r="M39" s="60"/>
      <c r="N39" s="45"/>
      <c r="O39" s="1"/>
      <c r="P39" s="1"/>
      <c r="Q39" s="1"/>
    </row>
    <row r="40" spans="3:17" ht="12.75">
      <c r="C40" s="17" t="s">
        <v>58</v>
      </c>
      <c r="E40" s="1"/>
      <c r="F40" s="28"/>
      <c r="G40" s="28"/>
      <c r="H40" s="28"/>
      <c r="I40" s="28"/>
      <c r="J40" s="28"/>
      <c r="K40" s="1"/>
      <c r="L40" s="1"/>
      <c r="M40" s="1"/>
      <c r="N40" s="45"/>
      <c r="O40" s="1"/>
      <c r="P40" s="1"/>
      <c r="Q40" s="1"/>
    </row>
    <row r="41" spans="3:17" ht="15">
      <c r="C41" s="71" t="s">
        <v>20</v>
      </c>
      <c r="E41" s="1"/>
      <c r="F41" s="28"/>
      <c r="G41" s="13" t="s">
        <v>59</v>
      </c>
      <c r="H41" s="12">
        <f t="shared" ref="H41:J41" si="3">H38</f>
        <v>11750</v>
      </c>
      <c r="I41" s="12">
        <f t="shared" si="3"/>
        <v>11875</v>
      </c>
      <c r="J41" s="12">
        <f t="shared" si="3"/>
        <v>12812.5</v>
      </c>
      <c r="K41" s="1"/>
      <c r="L41" s="72"/>
      <c r="M41" s="60"/>
      <c r="N41" s="45"/>
      <c r="O41" s="1"/>
      <c r="P41" s="1"/>
      <c r="Q41" s="1"/>
    </row>
    <row r="42" spans="3:17" ht="12.75">
      <c r="C42" s="73" t="s">
        <v>29</v>
      </c>
      <c r="E42" s="1"/>
      <c r="F42" s="28"/>
      <c r="G42" s="28"/>
      <c r="H42" s="28"/>
      <c r="I42" s="28"/>
      <c r="J42" s="28"/>
      <c r="K42" s="1"/>
      <c r="L42" s="1"/>
      <c r="M42" s="1"/>
      <c r="N42" s="45"/>
      <c r="O42" s="1"/>
      <c r="P42" s="1"/>
      <c r="Q42" s="1"/>
    </row>
    <row r="43" spans="3:17" ht="12.75">
      <c r="C43" s="73" t="s">
        <v>34</v>
      </c>
      <c r="E43" s="1"/>
      <c r="F43" s="28"/>
      <c r="G43" s="28" t="s">
        <v>60</v>
      </c>
      <c r="H43" s="54">
        <f t="shared" ref="H43:I43" si="4">SUM(H41*10.8)</f>
        <v>126900.00000000001</v>
      </c>
      <c r="I43" s="54">
        <f t="shared" si="4"/>
        <v>128250.00000000001</v>
      </c>
      <c r="J43" s="54">
        <f>SUM(J41*10.2)</f>
        <v>130687.49999999999</v>
      </c>
      <c r="K43" s="1"/>
      <c r="L43" s="34"/>
      <c r="M43" s="1"/>
      <c r="N43" s="45"/>
      <c r="O43" s="1"/>
      <c r="P43" s="1"/>
      <c r="Q43" s="1"/>
    </row>
    <row r="44" spans="3:17" ht="12.75">
      <c r="C44" s="77" t="s">
        <v>61</v>
      </c>
      <c r="E44" s="1"/>
      <c r="F44" s="28"/>
      <c r="G44" s="18"/>
      <c r="H44" s="28"/>
      <c r="I44" s="28"/>
      <c r="J44" s="28"/>
      <c r="K44" s="1"/>
      <c r="L44" s="1"/>
      <c r="M44" s="1"/>
      <c r="N44" s="45"/>
      <c r="O44" s="1"/>
      <c r="P44" s="1"/>
      <c r="Q44" s="1"/>
    </row>
    <row r="45" spans="3:17" ht="12.75">
      <c r="E45" s="1"/>
      <c r="F45" s="28"/>
      <c r="G45" s="28"/>
      <c r="H45" s="28"/>
      <c r="I45" s="28"/>
      <c r="J45" s="28"/>
      <c r="K45" s="1"/>
      <c r="L45" s="1"/>
      <c r="M45" s="1"/>
      <c r="N45" s="45"/>
      <c r="O45" s="1"/>
      <c r="P45" s="1"/>
      <c r="Q45" s="1"/>
    </row>
    <row r="46" spans="3:17" ht="12.75">
      <c r="C46" s="77"/>
      <c r="E46" s="1"/>
      <c r="F46" s="28"/>
      <c r="G46" s="18" t="s">
        <v>62</v>
      </c>
      <c r="H46" s="28">
        <f t="shared" ref="H46:J46" si="5">SUM(H44+H43)</f>
        <v>126900.00000000001</v>
      </c>
      <c r="I46" s="28">
        <f t="shared" si="5"/>
        <v>128250.00000000001</v>
      </c>
      <c r="J46" s="28">
        <f t="shared" si="5"/>
        <v>130687.49999999999</v>
      </c>
      <c r="K46" s="1"/>
      <c r="L46" s="1"/>
      <c r="M46" s="1"/>
      <c r="N46" s="45"/>
      <c r="O46" s="1"/>
      <c r="P46" s="1"/>
      <c r="Q46" s="1"/>
    </row>
    <row r="47" spans="3:17" ht="12.75">
      <c r="C47" s="19" t="s">
        <v>50</v>
      </c>
      <c r="E47" s="1"/>
      <c r="F47" s="28"/>
      <c r="G47" s="28"/>
      <c r="H47" s="79">
        <f t="shared" ref="H47:J47" si="6">ROUNDUP(H46, -2)</f>
        <v>126900</v>
      </c>
      <c r="I47" s="79">
        <f t="shared" si="6"/>
        <v>128300</v>
      </c>
      <c r="J47" s="79">
        <f t="shared" si="6"/>
        <v>130700</v>
      </c>
      <c r="K47" s="1"/>
      <c r="L47" s="1"/>
      <c r="M47" s="1"/>
      <c r="N47" s="45"/>
      <c r="O47" s="1"/>
      <c r="P47" s="1"/>
      <c r="Q47" s="1"/>
    </row>
    <row r="48" spans="3:17" ht="12.75">
      <c r="E48" s="1"/>
      <c r="F48" s="28"/>
      <c r="G48" s="28"/>
      <c r="H48" s="81">
        <f t="shared" ref="H48:J48" si="7">H47+1000</f>
        <v>127900</v>
      </c>
      <c r="I48" s="81">
        <f t="shared" si="7"/>
        <v>129300</v>
      </c>
      <c r="J48" s="81">
        <f t="shared" si="7"/>
        <v>131700</v>
      </c>
      <c r="K48" s="1"/>
      <c r="L48" s="45"/>
      <c r="M48" s="1"/>
      <c r="N48" s="45"/>
    </row>
    <row r="49" spans="3:14" ht="15">
      <c r="C49" s="101"/>
      <c r="D49" s="102"/>
      <c r="E49" s="103"/>
      <c r="I49" s="1"/>
      <c r="J49" s="1"/>
      <c r="K49" s="1"/>
      <c r="L49" s="45"/>
      <c r="M49" s="1"/>
      <c r="N49" s="45"/>
    </row>
    <row r="50" spans="3:14" ht="15">
      <c r="C50" s="104"/>
      <c r="D50" s="102"/>
      <c r="E50" s="105"/>
      <c r="F50" s="1"/>
      <c r="G50" s="1"/>
      <c r="H50" s="1"/>
      <c r="L50" s="2"/>
      <c r="N50" s="2"/>
    </row>
    <row r="51" spans="3:14" ht="12.75">
      <c r="C51" s="104"/>
      <c r="D51" s="102"/>
      <c r="E51" s="103"/>
      <c r="F51" s="1"/>
      <c r="G51" s="1"/>
      <c r="H51" s="34" t="s">
        <v>50</v>
      </c>
      <c r="L51" s="2"/>
      <c r="N51" s="2"/>
    </row>
    <row r="52" spans="3:14" ht="12.75">
      <c r="C52" s="104"/>
      <c r="D52" s="102"/>
      <c r="E52" s="103"/>
      <c r="F52" s="1"/>
      <c r="G52" s="1"/>
      <c r="H52" s="34"/>
      <c r="L52" s="2"/>
      <c r="N52" s="2"/>
    </row>
    <row r="53" spans="3:14" ht="15">
      <c r="C53" s="106"/>
      <c r="D53" s="102"/>
      <c r="E53" s="105"/>
      <c r="F53" s="1"/>
      <c r="G53" s="85"/>
      <c r="H53" s="39"/>
      <c r="I53" s="86"/>
      <c r="L53" s="2"/>
      <c r="N53" s="2"/>
    </row>
    <row r="54" spans="3:14" ht="12.75">
      <c r="C54" s="107"/>
      <c r="D54" s="104"/>
      <c r="E54" s="103"/>
      <c r="F54" s="1"/>
      <c r="G54" s="1"/>
      <c r="H54" s="16"/>
      <c r="I54" s="87"/>
      <c r="L54" s="2"/>
      <c r="N54" s="2"/>
    </row>
    <row r="55" spans="3:14" ht="12.75">
      <c r="C55" s="107"/>
      <c r="D55" s="104"/>
      <c r="E55" s="103"/>
      <c r="F55" s="1"/>
      <c r="G55" s="1"/>
      <c r="H55" s="16"/>
      <c r="I55" s="87"/>
      <c r="L55" s="2"/>
      <c r="N55" s="2"/>
    </row>
    <row r="56" spans="3:14" ht="15">
      <c r="C56" s="108"/>
      <c r="D56" s="109"/>
      <c r="E56" s="103"/>
      <c r="F56" s="1"/>
      <c r="G56" s="89"/>
      <c r="H56" s="39"/>
      <c r="I56" s="87"/>
      <c r="L56" s="2"/>
      <c r="N56" s="2"/>
    </row>
    <row r="57" spans="3:14" ht="15">
      <c r="C57" s="110"/>
      <c r="D57" s="111"/>
      <c r="E57" s="102"/>
      <c r="H57" s="1"/>
      <c r="L57" s="2"/>
      <c r="N57" s="2"/>
    </row>
    <row r="58" spans="3:14" ht="15">
      <c r="C58" s="110"/>
      <c r="D58" s="111"/>
      <c r="E58" s="102"/>
      <c r="H58" s="1"/>
      <c r="L58" s="2"/>
      <c r="N58" s="2"/>
    </row>
    <row r="59" spans="3:14" ht="12.75">
      <c r="C59" s="112"/>
      <c r="D59" s="104"/>
      <c r="E59" s="102"/>
      <c r="H59" s="1"/>
      <c r="L59" s="2"/>
      <c r="N59" s="2"/>
    </row>
    <row r="60" spans="3:14" ht="12.75">
      <c r="C60" s="107"/>
      <c r="D60" s="104"/>
      <c r="E60" s="102"/>
      <c r="H60" s="1"/>
      <c r="L60" s="2"/>
      <c r="N60" s="2"/>
    </row>
    <row r="61" spans="3:14" ht="15">
      <c r="C61" s="113"/>
      <c r="D61" s="114"/>
      <c r="E61" s="102"/>
      <c r="H61" s="1"/>
      <c r="L61" s="2"/>
      <c r="N61" s="2"/>
    </row>
    <row r="62" spans="3:14" ht="12.75">
      <c r="C62" s="102"/>
      <c r="D62" s="102"/>
      <c r="E62" s="102"/>
      <c r="H62" s="1"/>
      <c r="L62" s="2"/>
      <c r="N62" s="2"/>
    </row>
    <row r="63" spans="3:14" ht="12.75">
      <c r="C63" s="102"/>
      <c r="D63" s="102"/>
      <c r="E63" s="102"/>
      <c r="H63" s="1"/>
      <c r="L63" s="2"/>
      <c r="N63" s="2"/>
    </row>
    <row r="64" spans="3:14" ht="12.75">
      <c r="C64" s="112"/>
      <c r="D64" s="104"/>
      <c r="E64" s="102"/>
      <c r="H64" s="1"/>
      <c r="L64" s="2"/>
      <c r="N64" s="2"/>
    </row>
    <row r="65" spans="3:14" ht="12.75">
      <c r="C65" s="112"/>
      <c r="D65" s="104"/>
      <c r="E65" s="102"/>
      <c r="H65" s="1"/>
      <c r="L65" s="2"/>
      <c r="N65" s="2"/>
    </row>
    <row r="66" spans="3:14" ht="15">
      <c r="C66" s="113"/>
      <c r="D66" s="114"/>
      <c r="E66" s="102"/>
      <c r="H66" s="1"/>
      <c r="L66" s="2"/>
      <c r="N66" s="2"/>
    </row>
    <row r="67" spans="3:14" ht="12.75">
      <c r="C67" s="102"/>
      <c r="D67" s="102"/>
      <c r="E67" s="102"/>
      <c r="H67" s="1"/>
      <c r="L67" s="2"/>
      <c r="N67" s="2"/>
    </row>
    <row r="68" spans="3:14" ht="12.75">
      <c r="C68" s="102"/>
      <c r="D68" s="102"/>
      <c r="E68" s="102"/>
      <c r="H68" s="1"/>
      <c r="L68" s="2"/>
      <c r="N68" s="2"/>
    </row>
    <row r="69" spans="3:14" ht="12.75">
      <c r="C69" s="102"/>
      <c r="D69" s="102"/>
      <c r="E69" s="102"/>
      <c r="H69" s="1"/>
      <c r="L69" s="2"/>
      <c r="N69" s="2"/>
    </row>
    <row r="70" spans="3:14" ht="12.75">
      <c r="C70" s="102"/>
      <c r="D70" s="102"/>
      <c r="E70" s="102"/>
      <c r="H70" s="1"/>
      <c r="L70" s="2"/>
      <c r="N70" s="2"/>
    </row>
    <row r="71" spans="3:14" ht="12.75">
      <c r="C71" s="115"/>
      <c r="D71" s="116"/>
      <c r="E71" s="102"/>
      <c r="H71" s="1"/>
      <c r="L71" s="2"/>
      <c r="N71" s="2"/>
    </row>
    <row r="72" spans="3:14" ht="15">
      <c r="C72" s="117"/>
      <c r="D72" s="118"/>
      <c r="E72" s="102"/>
      <c r="H72" s="1"/>
      <c r="L72" s="2"/>
      <c r="N72" s="2"/>
    </row>
    <row r="73" spans="3:14" ht="15">
      <c r="C73" s="119"/>
      <c r="D73" s="120"/>
      <c r="E73" s="102"/>
      <c r="H73" s="1"/>
      <c r="L73" s="2"/>
      <c r="N73" s="2"/>
    </row>
    <row r="74" spans="3:14" ht="176.25" customHeight="1">
      <c r="C74" s="104"/>
      <c r="D74" s="104"/>
      <c r="E74" s="103"/>
      <c r="L74" s="2"/>
      <c r="N74" s="2"/>
    </row>
    <row r="75" spans="3:14" ht="12.75">
      <c r="C75" s="107"/>
      <c r="D75" s="104"/>
      <c r="E75" s="102"/>
      <c r="L75" s="2"/>
      <c r="N75" s="2"/>
    </row>
    <row r="76" spans="3:14" ht="12.75">
      <c r="C76" s="107"/>
      <c r="D76" s="104"/>
      <c r="E76" s="102"/>
      <c r="L76" s="2"/>
      <c r="N76" s="2"/>
    </row>
    <row r="77" spans="3:14" ht="12.75">
      <c r="C77" s="107"/>
      <c r="D77" s="104"/>
      <c r="E77" s="102"/>
      <c r="L77" s="2"/>
      <c r="N77" s="2"/>
    </row>
    <row r="78" spans="3:14" ht="15">
      <c r="C78" s="108"/>
      <c r="D78" s="109"/>
      <c r="E78" s="102"/>
      <c r="L78" s="2"/>
      <c r="N78" s="2"/>
    </row>
    <row r="79" spans="3:14" ht="15">
      <c r="C79" s="110"/>
      <c r="D79" s="111"/>
      <c r="E79" s="102"/>
      <c r="L79" s="2"/>
      <c r="N79" s="2"/>
    </row>
    <row r="80" spans="3:14" ht="15">
      <c r="C80" s="110"/>
      <c r="D80" s="111"/>
      <c r="E80" s="102"/>
      <c r="L80" s="2"/>
      <c r="N80" s="2"/>
    </row>
    <row r="81" spans="3:14" ht="12.75">
      <c r="C81" s="112"/>
      <c r="D81" s="104"/>
      <c r="E81" s="102"/>
      <c r="L81" s="2"/>
      <c r="N81" s="2"/>
    </row>
    <row r="82" spans="3:14" ht="12.75">
      <c r="C82" s="107"/>
      <c r="D82" s="104"/>
      <c r="E82" s="102"/>
      <c r="L82" s="2"/>
      <c r="N82" s="2"/>
    </row>
    <row r="83" spans="3:14" ht="15">
      <c r="C83" s="113"/>
      <c r="D83" s="114"/>
      <c r="E83" s="102"/>
      <c r="L83" s="2"/>
      <c r="N83" s="2"/>
    </row>
    <row r="84" spans="3:14" ht="12.75">
      <c r="C84" s="104"/>
      <c r="D84" s="104"/>
      <c r="E84" s="102"/>
      <c r="L84" s="2"/>
      <c r="N84" s="2"/>
    </row>
    <row r="85" spans="3:14" ht="12.75">
      <c r="C85" s="104"/>
      <c r="D85" s="104"/>
      <c r="E85" s="102"/>
      <c r="L85" s="2"/>
      <c r="N85" s="2"/>
    </row>
    <row r="86" spans="3:14" ht="12.75">
      <c r="C86" s="112"/>
      <c r="D86" s="104"/>
      <c r="E86" s="102"/>
      <c r="L86" s="2"/>
      <c r="N86" s="2"/>
    </row>
    <row r="87" spans="3:14" ht="12.75">
      <c r="C87" s="112"/>
      <c r="D87" s="104"/>
      <c r="E87" s="102"/>
      <c r="L87" s="2"/>
      <c r="N87" s="2"/>
    </row>
    <row r="88" spans="3:14" ht="15">
      <c r="C88" s="113"/>
      <c r="D88" s="114"/>
      <c r="E88" s="102"/>
      <c r="L88" s="2"/>
      <c r="N88" s="2"/>
    </row>
    <row r="89" spans="3:14" ht="12.75">
      <c r="C89" s="102"/>
      <c r="D89" s="102"/>
      <c r="E89" s="102"/>
      <c r="L89" s="2"/>
      <c r="N89" s="2"/>
    </row>
    <row r="90" spans="3:14" ht="12.75">
      <c r="C90" s="102"/>
      <c r="D90" s="102"/>
      <c r="E90" s="102"/>
      <c r="L90" s="2"/>
      <c r="N90" s="2"/>
    </row>
    <row r="91" spans="3:14" ht="12.75">
      <c r="C91" s="121"/>
      <c r="D91" s="122"/>
      <c r="E91" s="103"/>
      <c r="F91" s="1"/>
      <c r="G91" s="1"/>
      <c r="L91" s="2"/>
      <c r="N91" s="2"/>
    </row>
    <row r="92" spans="3:14" ht="12.75">
      <c r="C92" s="121"/>
      <c r="D92" s="122"/>
      <c r="E92" s="103"/>
      <c r="F92" s="1"/>
      <c r="G92" s="1"/>
      <c r="L92" s="2"/>
      <c r="N92" s="2"/>
    </row>
    <row r="93" spans="3:14" ht="12.75">
      <c r="C93" s="121"/>
      <c r="D93" s="122"/>
      <c r="E93" s="103"/>
      <c r="F93" s="1"/>
      <c r="G93" s="1"/>
      <c r="L93" s="2"/>
      <c r="N93" s="2"/>
    </row>
    <row r="94" spans="3:14" ht="12.75">
      <c r="C94" s="121"/>
      <c r="D94" s="122"/>
      <c r="E94" s="103"/>
      <c r="F94" s="1"/>
      <c r="G94" s="1"/>
      <c r="L94" s="2"/>
      <c r="N94" s="2"/>
    </row>
    <row r="95" spans="3:14" ht="12.75">
      <c r="C95" s="121"/>
      <c r="D95" s="122"/>
      <c r="E95" s="103"/>
      <c r="F95" s="1"/>
      <c r="G95" s="1"/>
      <c r="L95" s="2"/>
      <c r="N95" s="2"/>
    </row>
    <row r="96" spans="3:14" ht="12.75">
      <c r="C96" s="121"/>
      <c r="D96" s="122"/>
      <c r="E96" s="103"/>
      <c r="F96" s="1"/>
      <c r="G96" s="1"/>
      <c r="L96" s="2"/>
      <c r="N96" s="2"/>
    </row>
    <row r="97" spans="3:14" ht="12.75">
      <c r="C97" s="122"/>
      <c r="D97" s="122"/>
      <c r="E97" s="103"/>
      <c r="F97" s="1"/>
      <c r="G97" s="1"/>
      <c r="L97" s="2"/>
      <c r="N97" s="2"/>
    </row>
    <row r="98" spans="3:14">
      <c r="C98" s="123"/>
      <c r="D98" s="122"/>
      <c r="E98" s="103"/>
      <c r="F98" s="1"/>
      <c r="G98" s="1"/>
      <c r="L98" s="2"/>
      <c r="N98" s="2"/>
    </row>
    <row r="99" spans="3:14" ht="12.75">
      <c r="C99" s="122"/>
      <c r="D99" s="122"/>
      <c r="E99" s="103"/>
      <c r="F99" s="1"/>
      <c r="G99" s="1"/>
      <c r="L99" s="2"/>
      <c r="N99" s="2"/>
    </row>
    <row r="100" spans="3:14">
      <c r="C100" s="124"/>
      <c r="D100" s="122"/>
      <c r="E100" s="103"/>
      <c r="L100" s="2"/>
      <c r="N100" s="2"/>
    </row>
    <row r="101" spans="3:14" ht="18.75">
      <c r="C101" s="125"/>
      <c r="D101" s="126"/>
      <c r="E101" s="103"/>
      <c r="L101" s="2"/>
      <c r="N101" s="2"/>
    </row>
    <row r="102" spans="3:14" ht="12.75">
      <c r="C102" s="122"/>
      <c r="D102" s="127"/>
      <c r="E102" s="103"/>
      <c r="L102" s="2"/>
      <c r="N102" s="2"/>
    </row>
    <row r="103" spans="3:14" ht="15">
      <c r="C103" s="128"/>
      <c r="D103" s="129"/>
      <c r="E103" s="103"/>
      <c r="L103" s="2"/>
      <c r="N103" s="2"/>
    </row>
    <row r="104" spans="3:14" ht="12.75">
      <c r="C104" s="122"/>
      <c r="D104" s="127"/>
      <c r="E104" s="103"/>
      <c r="L104" s="2"/>
      <c r="N104" s="2"/>
    </row>
    <row r="105" spans="3:14" ht="12.75">
      <c r="C105" s="130"/>
      <c r="D105" s="127"/>
      <c r="E105" s="103"/>
      <c r="L105" s="2"/>
      <c r="N105" s="2"/>
    </row>
    <row r="106" spans="3:14" ht="12.75">
      <c r="C106" s="122"/>
      <c r="D106" s="127"/>
      <c r="E106" s="103"/>
      <c r="L106" s="2"/>
      <c r="N106" s="2"/>
    </row>
    <row r="107" spans="3:14" ht="12.75">
      <c r="C107" s="122"/>
      <c r="D107" s="127"/>
      <c r="E107" s="103"/>
      <c r="L107" s="2"/>
      <c r="N107" s="2"/>
    </row>
    <row r="108" spans="3:14" ht="12.75">
      <c r="C108" s="130"/>
      <c r="D108" s="127"/>
      <c r="E108" s="103"/>
      <c r="L108" s="2"/>
      <c r="N108" s="2"/>
    </row>
    <row r="109" spans="3:14" ht="12.75">
      <c r="C109" s="122"/>
      <c r="D109" s="127"/>
      <c r="E109" s="103"/>
      <c r="L109" s="2"/>
      <c r="N109" s="2"/>
    </row>
    <row r="110" spans="3:14" ht="12.75">
      <c r="C110" s="122"/>
      <c r="D110" s="127"/>
      <c r="E110" s="103"/>
      <c r="L110" s="2"/>
      <c r="N110" s="2"/>
    </row>
    <row r="111" spans="3:14" ht="12.75">
      <c r="C111" s="122"/>
      <c r="D111" s="127"/>
      <c r="E111" s="103"/>
      <c r="L111" s="2"/>
      <c r="N111" s="2"/>
    </row>
    <row r="112" spans="3:14" ht="12.75">
      <c r="C112" s="122"/>
      <c r="D112" s="127"/>
      <c r="E112" s="103"/>
      <c r="L112" s="2"/>
      <c r="N112" s="2"/>
    </row>
    <row r="113" spans="3:14" ht="12.75">
      <c r="C113" s="122"/>
      <c r="D113" s="127"/>
      <c r="E113" s="103"/>
      <c r="L113" s="2"/>
      <c r="N113" s="2"/>
    </row>
    <row r="114" spans="3:14" ht="12.75">
      <c r="C114" s="131"/>
      <c r="D114" s="127"/>
      <c r="E114" s="103"/>
      <c r="L114" s="2"/>
      <c r="N114" s="2"/>
    </row>
    <row r="115" spans="3:14" ht="12.75">
      <c r="C115" s="122"/>
      <c r="D115" s="127"/>
      <c r="E115" s="103"/>
      <c r="L115" s="2"/>
      <c r="N115" s="2"/>
    </row>
    <row r="116" spans="3:14" ht="15">
      <c r="C116" s="128"/>
      <c r="D116" s="129"/>
      <c r="E116" s="103"/>
      <c r="L116" s="2"/>
      <c r="N116" s="2"/>
    </row>
    <row r="117" spans="3:14" ht="12.75">
      <c r="C117" s="122"/>
      <c r="D117" s="127"/>
      <c r="E117" s="103"/>
      <c r="L117" s="2"/>
      <c r="N117" s="2"/>
    </row>
    <row r="118" spans="3:14" ht="12.75">
      <c r="C118" s="130"/>
      <c r="D118" s="127"/>
      <c r="E118" s="103"/>
      <c r="L118" s="2"/>
      <c r="N118" s="2"/>
    </row>
    <row r="119" spans="3:14" ht="12.75">
      <c r="C119" s="122"/>
      <c r="D119" s="127"/>
      <c r="E119" s="103"/>
      <c r="L119" s="2"/>
      <c r="N119" s="2"/>
    </row>
    <row r="120" spans="3:14" ht="12.75">
      <c r="C120" s="122"/>
      <c r="D120" s="127"/>
      <c r="E120" s="103"/>
      <c r="L120" s="2"/>
      <c r="N120" s="2"/>
    </row>
    <row r="121" spans="3:14" ht="12.75">
      <c r="C121" s="122"/>
      <c r="D121" s="127"/>
      <c r="E121" s="103"/>
      <c r="L121" s="2"/>
      <c r="N121" s="2"/>
    </row>
    <row r="122" spans="3:14" ht="12.75">
      <c r="C122" s="130"/>
      <c r="D122" s="127"/>
      <c r="E122" s="103"/>
      <c r="L122" s="2"/>
      <c r="N122" s="2"/>
    </row>
    <row r="123" spans="3:14" ht="12.75">
      <c r="C123" s="122"/>
      <c r="D123" s="127"/>
      <c r="E123" s="103"/>
      <c r="L123" s="2"/>
      <c r="N123" s="2"/>
    </row>
    <row r="124" spans="3:14" ht="12.75">
      <c r="C124" s="122"/>
      <c r="D124" s="127"/>
      <c r="E124" s="103"/>
      <c r="L124" s="2"/>
      <c r="N124" s="2"/>
    </row>
    <row r="125" spans="3:14" ht="12.75">
      <c r="C125" s="127"/>
      <c r="D125" s="127"/>
      <c r="E125" s="103"/>
      <c r="L125" s="2"/>
      <c r="N125" s="2"/>
    </row>
    <row r="126" spans="3:14" ht="12.75">
      <c r="C126" s="102"/>
      <c r="D126" s="102"/>
      <c r="E126" s="103"/>
      <c r="L126" s="2"/>
      <c r="N126" s="2"/>
    </row>
    <row r="127" spans="3:14" ht="12.75">
      <c r="C127" s="102"/>
      <c r="D127" s="102"/>
      <c r="E127" s="103"/>
      <c r="L127" s="2"/>
      <c r="N127" s="2"/>
    </row>
    <row r="128" spans="3:14" ht="12.75">
      <c r="C128" s="102"/>
      <c r="D128" s="102"/>
      <c r="E128" s="103"/>
      <c r="L128" s="2"/>
      <c r="N128" s="2"/>
    </row>
    <row r="129" spans="3:14" ht="12.75">
      <c r="C129" s="102"/>
      <c r="D129" s="102"/>
      <c r="E129" s="103"/>
      <c r="L129" s="2"/>
      <c r="N129" s="2"/>
    </row>
    <row r="130" spans="3:14" ht="12.75">
      <c r="C130" s="102"/>
      <c r="D130" s="102"/>
      <c r="E130" s="103"/>
      <c r="L130" s="2"/>
      <c r="N130" s="2"/>
    </row>
    <row r="131" spans="3:14" ht="12.75">
      <c r="C131" s="102"/>
      <c r="D131" s="102"/>
      <c r="E131" s="103"/>
      <c r="L131" s="2"/>
      <c r="N131" s="2"/>
    </row>
    <row r="132" spans="3:14" ht="12.75">
      <c r="C132" s="102"/>
      <c r="D132" s="102"/>
      <c r="E132" s="103"/>
      <c r="L132" s="2"/>
      <c r="N132" s="2"/>
    </row>
    <row r="133" spans="3:14" ht="12.75">
      <c r="C133" s="102"/>
      <c r="D133" s="102"/>
      <c r="E133" s="103"/>
      <c r="L133" s="2"/>
      <c r="N133" s="2"/>
    </row>
    <row r="134" spans="3:14" ht="12.75">
      <c r="C134" s="102"/>
      <c r="D134" s="102"/>
      <c r="E134" s="103"/>
      <c r="L134" s="2"/>
      <c r="N134" s="2"/>
    </row>
    <row r="135" spans="3:14" ht="12.75">
      <c r="C135" s="102"/>
      <c r="D135" s="102"/>
      <c r="E135" s="103"/>
      <c r="L135" s="2"/>
      <c r="N135" s="2"/>
    </row>
    <row r="136" spans="3:14" ht="12.75">
      <c r="C136" s="102"/>
      <c r="D136" s="102"/>
      <c r="E136" s="103"/>
      <c r="L136" s="2"/>
      <c r="N136" s="2"/>
    </row>
    <row r="137" spans="3:14" ht="12.75">
      <c r="C137" s="102"/>
      <c r="D137" s="102"/>
      <c r="E137" s="103"/>
      <c r="L137" s="2"/>
      <c r="N137" s="2"/>
    </row>
    <row r="138" spans="3:14" ht="12.75">
      <c r="C138" s="102"/>
      <c r="D138" s="102"/>
      <c r="E138" s="103"/>
      <c r="L138" s="2"/>
      <c r="N138" s="2"/>
    </row>
    <row r="139" spans="3:14" ht="12.75">
      <c r="C139" s="102"/>
      <c r="D139" s="102"/>
      <c r="E139" s="103"/>
      <c r="L139" s="2"/>
      <c r="N139" s="2"/>
    </row>
    <row r="140" spans="3:14" ht="12.75">
      <c r="C140" s="102"/>
      <c r="D140" s="102"/>
      <c r="E140" s="103"/>
      <c r="L140" s="2"/>
      <c r="N140" s="2"/>
    </row>
    <row r="141" spans="3:14" ht="12.75">
      <c r="C141" s="102"/>
      <c r="D141" s="102"/>
      <c r="E141" s="103"/>
      <c r="L141" s="2"/>
      <c r="N141" s="2"/>
    </row>
    <row r="142" spans="3:14" ht="12.75">
      <c r="C142" s="102"/>
      <c r="D142" s="102"/>
      <c r="E142" s="103"/>
      <c r="L142" s="2"/>
      <c r="N142" s="2"/>
    </row>
    <row r="143" spans="3:14" ht="12.75">
      <c r="C143" s="102"/>
      <c r="D143" s="102"/>
      <c r="E143" s="103"/>
      <c r="L143" s="2"/>
      <c r="N143" s="2"/>
    </row>
    <row r="144" spans="3:14" ht="12.75">
      <c r="C144" s="102"/>
      <c r="D144" s="102"/>
      <c r="E144" s="103"/>
      <c r="L144" s="2"/>
      <c r="N144" s="2"/>
    </row>
    <row r="145" spans="3:14" ht="12.75">
      <c r="C145" s="102"/>
      <c r="D145" s="102"/>
      <c r="E145" s="103"/>
      <c r="L145" s="2"/>
      <c r="N145" s="2"/>
    </row>
    <row r="146" spans="3:14" ht="12.75">
      <c r="C146" s="102"/>
      <c r="D146" s="102"/>
      <c r="E146" s="103"/>
      <c r="L146" s="2"/>
      <c r="N146" s="2"/>
    </row>
    <row r="147" spans="3:14" ht="12.75">
      <c r="C147" s="102"/>
      <c r="D147" s="102"/>
      <c r="E147" s="103"/>
      <c r="L147" s="2"/>
      <c r="N147" s="2"/>
    </row>
    <row r="148" spans="3:14">
      <c r="C148" s="132"/>
      <c r="D148" s="102"/>
      <c r="E148" s="103"/>
      <c r="L148" s="2"/>
      <c r="N148" s="2"/>
    </row>
    <row r="149" spans="3:14" ht="12.75">
      <c r="C149" s="122"/>
      <c r="D149" s="102"/>
      <c r="E149" s="103"/>
      <c r="L149" s="2"/>
      <c r="N149" s="2"/>
    </row>
    <row r="150" spans="3:14">
      <c r="C150" s="133"/>
      <c r="D150" s="102"/>
      <c r="E150" s="103"/>
      <c r="L150" s="2"/>
      <c r="N150" s="2"/>
    </row>
    <row r="151" spans="3:14" ht="15">
      <c r="C151" s="134"/>
      <c r="D151" s="102"/>
      <c r="E151" s="103"/>
      <c r="L151" s="2"/>
      <c r="N151" s="2"/>
    </row>
    <row r="152" spans="3:14" ht="12.75">
      <c r="C152" s="122"/>
      <c r="D152" s="102"/>
      <c r="E152" s="103"/>
      <c r="L152" s="2"/>
      <c r="N152" s="2"/>
    </row>
    <row r="153" spans="3:14" ht="12.75">
      <c r="C153" s="122"/>
      <c r="D153" s="102"/>
      <c r="E153" s="103"/>
      <c r="L153" s="2"/>
      <c r="N153" s="2"/>
    </row>
    <row r="154" spans="3:14" ht="12.75">
      <c r="C154" s="122"/>
      <c r="D154" s="102"/>
      <c r="E154" s="103"/>
      <c r="L154" s="2"/>
      <c r="N154" s="2"/>
    </row>
    <row r="155" spans="3:14">
      <c r="C155" s="135"/>
      <c r="D155" s="102"/>
      <c r="E155" s="103"/>
      <c r="L155" s="2"/>
      <c r="N155" s="2"/>
    </row>
    <row r="156" spans="3:14" ht="15">
      <c r="C156" s="136"/>
      <c r="D156" s="102"/>
      <c r="E156" s="103"/>
      <c r="L156" s="2"/>
      <c r="N156" s="2"/>
    </row>
    <row r="157" spans="3:14" ht="15">
      <c r="C157" s="137"/>
      <c r="D157" s="102"/>
      <c r="E157" s="103"/>
      <c r="L157" s="2"/>
      <c r="N157" s="2"/>
    </row>
    <row r="158" spans="3:14" ht="15">
      <c r="C158" s="138"/>
      <c r="D158" s="102"/>
      <c r="E158" s="103"/>
      <c r="L158" s="2"/>
      <c r="N158" s="2"/>
    </row>
    <row r="159" spans="3:14" ht="15">
      <c r="C159" s="136"/>
      <c r="D159" s="102"/>
      <c r="E159" s="103"/>
      <c r="L159" s="2"/>
      <c r="N159" s="2"/>
    </row>
    <row r="160" spans="3:14" ht="12.75">
      <c r="C160" s="122"/>
      <c r="D160" s="102"/>
      <c r="E160" s="103"/>
      <c r="L160" s="2"/>
      <c r="N160" s="2"/>
    </row>
    <row r="161" spans="3:14" ht="12.75">
      <c r="C161" s="122"/>
      <c r="D161" s="102"/>
      <c r="E161" s="103"/>
      <c r="L161" s="2"/>
      <c r="N161" s="2"/>
    </row>
    <row r="162" spans="3:14" ht="12.75">
      <c r="C162" s="122"/>
      <c r="D162" s="102"/>
      <c r="E162" s="103"/>
      <c r="L162" s="2"/>
      <c r="N162" s="2"/>
    </row>
    <row r="163" spans="3:14">
      <c r="C163" s="139"/>
      <c r="D163" s="102"/>
      <c r="E163" s="103"/>
      <c r="L163" s="2"/>
      <c r="N163" s="2"/>
    </row>
    <row r="164" spans="3:14" ht="15">
      <c r="C164" s="134"/>
      <c r="D164" s="102"/>
      <c r="E164" s="103"/>
      <c r="L164" s="2"/>
      <c r="N164" s="2"/>
    </row>
    <row r="165" spans="3:14" ht="12.75">
      <c r="C165" s="122"/>
      <c r="D165" s="102"/>
      <c r="E165" s="103"/>
      <c r="L165" s="2"/>
      <c r="N165" s="2"/>
    </row>
    <row r="166" spans="3:14" ht="12.75">
      <c r="C166" s="122"/>
      <c r="D166" s="102"/>
      <c r="E166" s="103"/>
      <c r="L166" s="2"/>
      <c r="N166" s="2"/>
    </row>
    <row r="167" spans="3:14">
      <c r="C167" s="139"/>
      <c r="D167" s="102"/>
      <c r="E167" s="103"/>
      <c r="L167" s="2"/>
      <c r="N167" s="2"/>
    </row>
    <row r="168" spans="3:14" ht="15">
      <c r="C168" s="134"/>
      <c r="D168" s="102"/>
      <c r="E168" s="103"/>
      <c r="L168" s="2"/>
      <c r="N168" s="2"/>
    </row>
    <row r="169" spans="3:14" ht="12.75">
      <c r="C169" s="102"/>
      <c r="D169" s="102"/>
      <c r="E169" s="103"/>
      <c r="L169" s="2"/>
      <c r="N169" s="2"/>
    </row>
    <row r="170" spans="3:14" ht="12.75">
      <c r="C170" s="102"/>
      <c r="D170" s="102"/>
      <c r="E170" s="103"/>
      <c r="L170" s="2"/>
      <c r="N170" s="2"/>
    </row>
    <row r="171" spans="3:14" ht="12.75">
      <c r="C171" s="102"/>
      <c r="D171" s="102"/>
      <c r="E171" s="103"/>
      <c r="L171" s="2"/>
      <c r="N171" s="2"/>
    </row>
    <row r="172" spans="3:14" ht="12.75">
      <c r="C172" s="102"/>
      <c r="D172" s="102"/>
      <c r="E172" s="103"/>
      <c r="L172" s="2"/>
      <c r="N172" s="2"/>
    </row>
    <row r="173" spans="3:14" ht="12.75">
      <c r="C173" s="102"/>
      <c r="D173" s="102"/>
      <c r="E173" s="103"/>
      <c r="L173" s="2"/>
      <c r="N173" s="2"/>
    </row>
    <row r="174" spans="3:14" ht="12.75">
      <c r="C174" s="102"/>
      <c r="D174" s="102"/>
      <c r="E174" s="103"/>
      <c r="L174" s="2"/>
      <c r="N174" s="2"/>
    </row>
    <row r="175" spans="3:14" ht="12.75">
      <c r="C175" s="102"/>
      <c r="D175" s="102"/>
      <c r="E175" s="103"/>
      <c r="L175" s="2"/>
      <c r="N175" s="2"/>
    </row>
    <row r="176" spans="3:14" ht="12.75">
      <c r="C176" s="102"/>
      <c r="D176" s="102"/>
      <c r="E176" s="103"/>
      <c r="L176" s="2"/>
      <c r="N176" s="2"/>
    </row>
    <row r="177" spans="3:14" ht="12.75">
      <c r="C177" s="102"/>
      <c r="D177" s="102"/>
      <c r="E177" s="103"/>
      <c r="L177" s="2"/>
      <c r="N177" s="2"/>
    </row>
    <row r="178" spans="3:14" ht="12.75">
      <c r="C178" s="102"/>
      <c r="D178" s="102"/>
      <c r="E178" s="103"/>
      <c r="L178" s="2"/>
      <c r="N178" s="2"/>
    </row>
    <row r="179" spans="3:14" ht="12.75">
      <c r="C179" s="102"/>
      <c r="D179" s="102"/>
      <c r="E179" s="103"/>
      <c r="L179" s="2"/>
      <c r="N179" s="2"/>
    </row>
    <row r="180" spans="3:14" ht="12.75">
      <c r="C180" s="102"/>
      <c r="D180" s="102"/>
      <c r="E180" s="103"/>
      <c r="L180" s="2"/>
      <c r="N180" s="2"/>
    </row>
    <row r="181" spans="3:14" ht="12.75">
      <c r="C181" s="102"/>
      <c r="D181" s="102"/>
      <c r="E181" s="103"/>
      <c r="L181" s="2"/>
      <c r="N181" s="2"/>
    </row>
    <row r="182" spans="3:14" ht="12.75">
      <c r="C182" s="102"/>
      <c r="D182" s="102"/>
      <c r="E182" s="103"/>
      <c r="L182" s="2"/>
      <c r="N182" s="2"/>
    </row>
    <row r="183" spans="3:14" ht="12.75">
      <c r="C183" s="102"/>
      <c r="D183" s="102"/>
      <c r="E183" s="103"/>
      <c r="L183" s="2"/>
      <c r="N183" s="2"/>
    </row>
    <row r="184" spans="3:14" ht="12.75">
      <c r="C184" s="102"/>
      <c r="D184" s="102"/>
      <c r="E184" s="103"/>
      <c r="L184" s="2"/>
      <c r="N184" s="2"/>
    </row>
    <row r="185" spans="3:14" ht="12.75">
      <c r="C185" s="102"/>
      <c r="D185" s="102"/>
      <c r="E185" s="103"/>
      <c r="L185" s="2"/>
      <c r="N185" s="2"/>
    </row>
    <row r="186" spans="3:14" ht="12.75">
      <c r="C186" s="102"/>
      <c r="D186" s="102"/>
      <c r="E186" s="103"/>
      <c r="L186" s="2"/>
      <c r="N186" s="2"/>
    </row>
    <row r="187" spans="3:14" ht="12.75">
      <c r="C187" s="102"/>
      <c r="D187" s="102"/>
      <c r="E187" s="103"/>
      <c r="L187" s="2"/>
      <c r="N187" s="2"/>
    </row>
    <row r="188" spans="3:14" ht="12.75">
      <c r="C188" s="102"/>
      <c r="D188" s="102"/>
      <c r="E188" s="103"/>
      <c r="L188" s="2"/>
      <c r="N188" s="2"/>
    </row>
    <row r="189" spans="3:14" ht="12.75">
      <c r="C189" s="102"/>
      <c r="D189" s="102"/>
      <c r="E189" s="103"/>
      <c r="L189" s="2"/>
      <c r="N189" s="2"/>
    </row>
    <row r="190" spans="3:14" ht="12.75">
      <c r="C190" s="102"/>
      <c r="D190" s="102"/>
      <c r="E190" s="103"/>
      <c r="L190" s="2"/>
      <c r="N190" s="2"/>
    </row>
    <row r="191" spans="3:14" ht="12.75">
      <c r="C191" s="102"/>
      <c r="D191" s="102"/>
      <c r="E191" s="103"/>
      <c r="L191" s="2"/>
      <c r="N191" s="2"/>
    </row>
    <row r="192" spans="3:14" ht="12.75">
      <c r="C192" s="102"/>
      <c r="D192" s="102"/>
      <c r="E192" s="103"/>
      <c r="L192" s="2"/>
      <c r="N192" s="2"/>
    </row>
    <row r="193" spans="3:14" ht="12.75">
      <c r="C193" s="102"/>
      <c r="D193" s="102"/>
      <c r="E193" s="103"/>
      <c r="L193" s="2"/>
      <c r="N193" s="2"/>
    </row>
    <row r="194" spans="3:14" ht="12.75">
      <c r="C194" s="102"/>
      <c r="D194" s="102"/>
      <c r="E194" s="103"/>
      <c r="L194" s="2"/>
      <c r="N194" s="2"/>
    </row>
    <row r="195" spans="3:14" ht="12.75">
      <c r="C195" s="102"/>
      <c r="D195" s="102"/>
      <c r="E195" s="103"/>
      <c r="L195" s="2"/>
      <c r="N195" s="2"/>
    </row>
    <row r="196" spans="3:14" ht="12.75">
      <c r="C196" s="102"/>
      <c r="D196" s="102"/>
      <c r="E196" s="103"/>
      <c r="L196" s="2"/>
      <c r="N196" s="2"/>
    </row>
    <row r="197" spans="3:14" ht="12.75">
      <c r="C197" s="102"/>
      <c r="D197" s="102"/>
      <c r="E197" s="103"/>
      <c r="L197" s="2"/>
      <c r="N197" s="2"/>
    </row>
    <row r="198" spans="3:14" ht="12.75">
      <c r="C198" s="102"/>
      <c r="D198" s="102"/>
      <c r="E198" s="103"/>
      <c r="L198" s="2"/>
      <c r="N198" s="2"/>
    </row>
    <row r="199" spans="3:14" ht="12.75">
      <c r="C199" s="102"/>
      <c r="D199" s="102"/>
      <c r="E199" s="103"/>
      <c r="L199" s="2"/>
      <c r="N199" s="2"/>
    </row>
    <row r="200" spans="3:14" ht="12.75">
      <c r="C200" s="102"/>
      <c r="D200" s="102"/>
      <c r="E200" s="103"/>
      <c r="L200" s="2"/>
      <c r="N200" s="2"/>
    </row>
    <row r="201" spans="3:14" ht="12.75">
      <c r="C201" s="102"/>
      <c r="D201" s="102"/>
      <c r="E201" s="103"/>
      <c r="L201" s="2"/>
      <c r="N201" s="2"/>
    </row>
    <row r="202" spans="3:14" ht="12.75">
      <c r="C202" s="102"/>
      <c r="D202" s="102"/>
      <c r="E202" s="103"/>
      <c r="L202" s="2"/>
      <c r="N202" s="2"/>
    </row>
    <row r="203" spans="3:14" ht="12.75">
      <c r="C203" s="102"/>
      <c r="D203" s="102"/>
      <c r="E203" s="103"/>
      <c r="L203" s="2"/>
      <c r="N203" s="2"/>
    </row>
    <row r="204" spans="3:14" ht="12.75">
      <c r="C204" s="102"/>
      <c r="D204" s="102"/>
      <c r="E204" s="103"/>
      <c r="L204" s="2"/>
      <c r="N204" s="2"/>
    </row>
    <row r="205" spans="3:14" ht="12.75">
      <c r="C205" s="102"/>
      <c r="D205" s="102"/>
      <c r="E205" s="103"/>
      <c r="L205" s="2"/>
      <c r="N205" s="2"/>
    </row>
    <row r="206" spans="3:14" ht="12.75">
      <c r="C206" s="102"/>
      <c r="D206" s="102"/>
      <c r="E206" s="103"/>
      <c r="L206" s="2"/>
      <c r="N206" s="2"/>
    </row>
    <row r="207" spans="3:14" ht="12.75">
      <c r="C207" s="102"/>
      <c r="D207" s="102"/>
      <c r="E207" s="103"/>
      <c r="L207" s="2"/>
      <c r="N207" s="2"/>
    </row>
    <row r="208" spans="3:14" ht="12.75">
      <c r="C208" s="102"/>
      <c r="D208" s="102"/>
      <c r="E208" s="103"/>
      <c r="L208" s="2"/>
      <c r="N208" s="2"/>
    </row>
    <row r="209" spans="3:14" ht="12.75">
      <c r="C209" s="102"/>
      <c r="D209" s="102"/>
      <c r="E209" s="103"/>
      <c r="L209" s="2"/>
      <c r="N209" s="2"/>
    </row>
    <row r="210" spans="3:14" ht="12.75">
      <c r="C210" s="102"/>
      <c r="D210" s="102"/>
      <c r="E210" s="103"/>
      <c r="L210" s="2"/>
      <c r="N210" s="2"/>
    </row>
    <row r="211" spans="3:14" ht="12.75">
      <c r="C211" s="102"/>
      <c r="D211" s="102"/>
      <c r="E211" s="103"/>
      <c r="L211" s="2"/>
      <c r="N211" s="2"/>
    </row>
    <row r="212" spans="3:14" ht="12.75">
      <c r="C212" s="102"/>
      <c r="D212" s="102"/>
      <c r="E212" s="103"/>
      <c r="L212" s="2"/>
      <c r="N212" s="2"/>
    </row>
    <row r="213" spans="3:14" ht="12.75">
      <c r="C213" s="102"/>
      <c r="D213" s="102"/>
      <c r="E213" s="103"/>
      <c r="L213" s="2"/>
      <c r="N213" s="2"/>
    </row>
    <row r="214" spans="3:14" ht="12.75">
      <c r="C214" s="102"/>
      <c r="D214" s="102"/>
      <c r="E214" s="103"/>
      <c r="L214" s="2"/>
      <c r="N214" s="2"/>
    </row>
    <row r="215" spans="3:14" ht="12.75">
      <c r="C215" s="102"/>
      <c r="D215" s="102"/>
      <c r="E215" s="103"/>
      <c r="L215" s="2"/>
      <c r="N215" s="2"/>
    </row>
    <row r="216" spans="3:14" ht="12.75">
      <c r="C216" s="102"/>
      <c r="D216" s="102"/>
      <c r="E216" s="103"/>
      <c r="L216" s="2"/>
      <c r="N216" s="2"/>
    </row>
    <row r="217" spans="3:14" ht="12.75">
      <c r="C217" s="102"/>
      <c r="D217" s="102"/>
      <c r="E217" s="103"/>
      <c r="L217" s="2"/>
      <c r="N217" s="2"/>
    </row>
    <row r="218" spans="3:14" ht="12.75">
      <c r="C218" s="102"/>
      <c r="D218" s="102"/>
      <c r="E218" s="103"/>
      <c r="L218" s="2"/>
      <c r="N218" s="2"/>
    </row>
    <row r="219" spans="3:14" ht="12.75">
      <c r="C219" s="102"/>
      <c r="D219" s="102"/>
      <c r="E219" s="103"/>
      <c r="L219" s="2"/>
      <c r="N219" s="2"/>
    </row>
    <row r="220" spans="3:14" ht="12.75">
      <c r="C220" s="102"/>
      <c r="D220" s="102"/>
      <c r="E220" s="103"/>
      <c r="L220" s="2"/>
      <c r="N220" s="2"/>
    </row>
    <row r="221" spans="3:14" ht="12.75">
      <c r="C221" s="102"/>
      <c r="D221" s="102"/>
      <c r="E221" s="103"/>
      <c r="L221" s="2"/>
      <c r="N221" s="2"/>
    </row>
    <row r="222" spans="3:14" ht="12.75">
      <c r="C222" s="102"/>
      <c r="D222" s="102"/>
      <c r="E222" s="103"/>
      <c r="L222" s="2"/>
      <c r="N222" s="2"/>
    </row>
    <row r="223" spans="3:14" ht="12.75">
      <c r="C223" s="102"/>
      <c r="D223" s="102"/>
      <c r="E223" s="103"/>
      <c r="L223" s="2"/>
      <c r="N223" s="2"/>
    </row>
    <row r="224" spans="3:14" ht="12.75">
      <c r="C224" s="102"/>
      <c r="D224" s="102"/>
      <c r="E224" s="103"/>
      <c r="L224" s="2"/>
      <c r="N224" s="2"/>
    </row>
    <row r="225" spans="3:14" ht="12.75">
      <c r="C225" s="102"/>
      <c r="D225" s="102"/>
      <c r="E225" s="103"/>
      <c r="L225" s="2"/>
      <c r="N225" s="2"/>
    </row>
    <row r="226" spans="3:14" ht="12.75">
      <c r="C226" s="102"/>
      <c r="D226" s="102"/>
      <c r="E226" s="103"/>
      <c r="L226" s="2"/>
      <c r="N226" s="2"/>
    </row>
    <row r="227" spans="3:14" ht="12.75">
      <c r="C227" s="102"/>
      <c r="D227" s="102"/>
      <c r="E227" s="103"/>
      <c r="L227" s="2"/>
      <c r="N227" s="2"/>
    </row>
    <row r="228" spans="3:14" ht="12.75">
      <c r="C228" s="102"/>
      <c r="D228" s="102"/>
      <c r="E228" s="103"/>
      <c r="L228" s="2"/>
      <c r="N228" s="2"/>
    </row>
    <row r="229" spans="3:14" ht="12.75">
      <c r="C229" s="102"/>
      <c r="D229" s="102"/>
      <c r="E229" s="103"/>
      <c r="L229" s="2"/>
      <c r="N229" s="2"/>
    </row>
    <row r="230" spans="3:14" ht="12.75">
      <c r="C230" s="102"/>
      <c r="D230" s="102"/>
      <c r="E230" s="103"/>
      <c r="L230" s="2"/>
      <c r="N230" s="2"/>
    </row>
    <row r="231" spans="3:14" ht="12.75">
      <c r="C231" s="102"/>
      <c r="D231" s="102"/>
      <c r="E231" s="103"/>
      <c r="L231" s="2"/>
      <c r="N231" s="2"/>
    </row>
    <row r="232" spans="3:14" ht="12.75">
      <c r="C232" s="102"/>
      <c r="D232" s="102"/>
      <c r="E232" s="103"/>
      <c r="L232" s="2"/>
      <c r="N232" s="2"/>
    </row>
    <row r="233" spans="3:14" ht="12.75">
      <c r="C233" s="102"/>
      <c r="D233" s="102"/>
      <c r="E233" s="103"/>
      <c r="L233" s="2"/>
      <c r="N233" s="2"/>
    </row>
    <row r="234" spans="3:14" ht="12.75">
      <c r="C234" s="102"/>
      <c r="D234" s="102"/>
      <c r="E234" s="103"/>
      <c r="L234" s="2"/>
      <c r="N234" s="2"/>
    </row>
    <row r="235" spans="3:14" ht="12.75">
      <c r="C235" s="102"/>
      <c r="D235" s="102"/>
      <c r="E235" s="103"/>
      <c r="L235" s="2"/>
      <c r="N235" s="2"/>
    </row>
    <row r="236" spans="3:14" ht="12.75">
      <c r="C236" s="102"/>
      <c r="D236" s="102"/>
      <c r="E236" s="103"/>
      <c r="L236" s="2"/>
      <c r="N236" s="2"/>
    </row>
    <row r="237" spans="3:14" ht="12.75">
      <c r="C237" s="102"/>
      <c r="D237" s="102"/>
      <c r="E237" s="103"/>
      <c r="L237" s="2"/>
      <c r="N237" s="2"/>
    </row>
    <row r="238" spans="3:14" ht="12.75">
      <c r="C238" s="102"/>
      <c r="D238" s="102"/>
      <c r="E238" s="103"/>
      <c r="L238" s="2"/>
      <c r="N238" s="2"/>
    </row>
    <row r="239" spans="3:14" ht="12.75">
      <c r="C239" s="102"/>
      <c r="D239" s="102"/>
      <c r="E239" s="103"/>
      <c r="L239" s="2"/>
      <c r="N239" s="2"/>
    </row>
    <row r="240" spans="3:14" ht="12.75">
      <c r="C240" s="102"/>
      <c r="D240" s="102"/>
      <c r="E240" s="103"/>
      <c r="L240" s="2"/>
      <c r="N240" s="2"/>
    </row>
    <row r="241" spans="3:14" ht="12.75">
      <c r="C241" s="102"/>
      <c r="D241" s="102"/>
      <c r="E241" s="103"/>
      <c r="L241" s="2"/>
      <c r="N241" s="2"/>
    </row>
    <row r="242" spans="3:14" ht="12.75">
      <c r="C242" s="102"/>
      <c r="D242" s="102"/>
      <c r="E242" s="103"/>
      <c r="L242" s="2"/>
      <c r="N242" s="2"/>
    </row>
    <row r="243" spans="3:14" ht="12.75">
      <c r="C243" s="102"/>
      <c r="D243" s="102"/>
      <c r="E243" s="103"/>
      <c r="L243" s="2"/>
      <c r="N243" s="2"/>
    </row>
    <row r="244" spans="3:14" ht="12.75">
      <c r="C244" s="102"/>
      <c r="D244" s="102"/>
      <c r="E244" s="103"/>
      <c r="L244" s="2"/>
      <c r="N244" s="2"/>
    </row>
    <row r="245" spans="3:14" ht="12.75">
      <c r="C245" s="102"/>
      <c r="D245" s="102"/>
      <c r="E245" s="103"/>
      <c r="L245" s="2"/>
      <c r="N245" s="2"/>
    </row>
    <row r="246" spans="3:14" ht="12.75">
      <c r="C246" s="102"/>
      <c r="D246" s="102"/>
      <c r="E246" s="103"/>
      <c r="L246" s="2"/>
      <c r="N246" s="2"/>
    </row>
    <row r="247" spans="3:14" ht="12.75">
      <c r="C247" s="102"/>
      <c r="D247" s="102"/>
      <c r="E247" s="103"/>
      <c r="L247" s="2"/>
      <c r="N247" s="2"/>
    </row>
    <row r="248" spans="3:14" ht="12.75">
      <c r="E248" s="1"/>
      <c r="L248" s="2"/>
      <c r="N248" s="2"/>
    </row>
    <row r="249" spans="3:14" ht="12.75">
      <c r="E249" s="1"/>
      <c r="L249" s="2"/>
      <c r="N249" s="2"/>
    </row>
    <row r="250" spans="3:14" ht="12.75">
      <c r="E250" s="1"/>
      <c r="L250" s="2"/>
      <c r="N250" s="2"/>
    </row>
    <row r="251" spans="3:14" ht="12.75">
      <c r="E251" s="1"/>
      <c r="L251" s="2"/>
      <c r="N251" s="2"/>
    </row>
    <row r="252" spans="3:14" ht="12.75">
      <c r="E252" s="1"/>
      <c r="L252" s="2"/>
      <c r="N252" s="2"/>
    </row>
    <row r="253" spans="3:14" ht="12.75">
      <c r="E253" s="1"/>
      <c r="L253" s="2"/>
      <c r="N253" s="2"/>
    </row>
    <row r="254" spans="3:14" ht="12.75">
      <c r="E254" s="1"/>
      <c r="L254" s="2"/>
      <c r="N254" s="2"/>
    </row>
    <row r="255" spans="3:14" ht="12.75">
      <c r="E255" s="1"/>
      <c r="L255" s="2"/>
      <c r="N255" s="2"/>
    </row>
    <row r="256" spans="3:14" ht="12.75">
      <c r="E256" s="1"/>
      <c r="L256" s="2"/>
      <c r="N256" s="2"/>
    </row>
    <row r="257" spans="5:14" ht="12.75">
      <c r="E257" s="1"/>
      <c r="L257" s="2"/>
      <c r="N257" s="2"/>
    </row>
    <row r="258" spans="5:14" ht="12.75">
      <c r="E258" s="1"/>
      <c r="L258" s="2"/>
      <c r="N258" s="2"/>
    </row>
    <row r="259" spans="5:14" ht="12.75">
      <c r="E259" s="1"/>
      <c r="L259" s="2"/>
      <c r="N259" s="2"/>
    </row>
    <row r="260" spans="5:14" ht="12.75">
      <c r="E260" s="1"/>
      <c r="L260" s="2"/>
      <c r="N260" s="2"/>
    </row>
    <row r="261" spans="5:14" ht="12.75">
      <c r="E261" s="1"/>
      <c r="L261" s="2"/>
      <c r="N261" s="2"/>
    </row>
    <row r="262" spans="5:14" ht="12.75">
      <c r="E262" s="1"/>
      <c r="L262" s="2"/>
      <c r="N262" s="2"/>
    </row>
    <row r="263" spans="5:14" ht="12.75">
      <c r="E263" s="1"/>
      <c r="L263" s="2"/>
      <c r="N263" s="2"/>
    </row>
    <row r="264" spans="5:14" ht="12.75">
      <c r="E264" s="1"/>
      <c r="L264" s="2"/>
      <c r="N264" s="2"/>
    </row>
    <row r="265" spans="5:14" ht="12.75">
      <c r="E265" s="1"/>
      <c r="L265" s="2"/>
      <c r="N265" s="2"/>
    </row>
    <row r="266" spans="5:14" ht="12.75">
      <c r="E266" s="1"/>
      <c r="L266" s="2"/>
      <c r="N266" s="2"/>
    </row>
    <row r="267" spans="5:14" ht="12.75">
      <c r="E267" s="1"/>
      <c r="L267" s="2"/>
      <c r="N267" s="2"/>
    </row>
    <row r="268" spans="5:14" ht="12.75">
      <c r="E268" s="1"/>
      <c r="L268" s="2"/>
      <c r="N268" s="2"/>
    </row>
    <row r="269" spans="5:14" ht="12.75">
      <c r="E269" s="1"/>
      <c r="L269" s="2"/>
      <c r="N269" s="2"/>
    </row>
    <row r="270" spans="5:14" ht="12.75">
      <c r="E270" s="1"/>
      <c r="L270" s="2"/>
      <c r="N270" s="2"/>
    </row>
    <row r="271" spans="5:14" ht="12.75">
      <c r="E271" s="1"/>
      <c r="L271" s="2"/>
      <c r="N271" s="2"/>
    </row>
    <row r="272" spans="5:14" ht="12.75">
      <c r="E272" s="1"/>
      <c r="L272" s="2"/>
      <c r="N272" s="2"/>
    </row>
    <row r="273" spans="5:14" ht="12.75">
      <c r="E273" s="1"/>
      <c r="L273" s="2"/>
      <c r="N273" s="2"/>
    </row>
    <row r="274" spans="5:14" ht="12.75">
      <c r="E274" s="1"/>
      <c r="L274" s="2"/>
      <c r="N274" s="2"/>
    </row>
    <row r="275" spans="5:14" ht="12.75">
      <c r="E275" s="1"/>
      <c r="L275" s="2"/>
      <c r="N275" s="2"/>
    </row>
    <row r="276" spans="5:14" ht="12.75">
      <c r="E276" s="1"/>
      <c r="L276" s="2"/>
      <c r="N276" s="2"/>
    </row>
    <row r="277" spans="5:14" ht="12.75">
      <c r="E277" s="1"/>
      <c r="L277" s="2"/>
      <c r="N277" s="2"/>
    </row>
    <row r="278" spans="5:14" ht="12.75">
      <c r="E278" s="1"/>
      <c r="L278" s="2"/>
      <c r="N278" s="2"/>
    </row>
    <row r="279" spans="5:14" ht="12.75">
      <c r="E279" s="1"/>
      <c r="L279" s="2"/>
      <c r="N279" s="2"/>
    </row>
    <row r="280" spans="5:14" ht="12.75">
      <c r="E280" s="1"/>
      <c r="L280" s="2"/>
      <c r="N280" s="2"/>
    </row>
    <row r="281" spans="5:14" ht="12.75">
      <c r="E281" s="1"/>
      <c r="L281" s="2"/>
      <c r="N281" s="2"/>
    </row>
    <row r="282" spans="5:14" ht="12.75">
      <c r="E282" s="1"/>
      <c r="L282" s="2"/>
      <c r="N282" s="2"/>
    </row>
    <row r="283" spans="5:14" ht="12.75">
      <c r="E283" s="1"/>
      <c r="L283" s="2"/>
      <c r="N283" s="2"/>
    </row>
    <row r="284" spans="5:14" ht="12.75">
      <c r="E284" s="1"/>
      <c r="L284" s="2"/>
      <c r="N284" s="2"/>
    </row>
    <row r="285" spans="5:14" ht="12.75">
      <c r="E285" s="1"/>
      <c r="L285" s="2"/>
      <c r="N285" s="2"/>
    </row>
    <row r="286" spans="5:14" ht="12.75">
      <c r="E286" s="1"/>
      <c r="L286" s="2"/>
      <c r="N286" s="2"/>
    </row>
    <row r="287" spans="5:14" ht="12.75">
      <c r="E287" s="1"/>
      <c r="L287" s="2"/>
      <c r="N287" s="2"/>
    </row>
    <row r="288" spans="5:14" ht="12.75">
      <c r="E288" s="1"/>
      <c r="L288" s="2"/>
      <c r="N288" s="2"/>
    </row>
    <row r="289" spans="5:14" ht="12.75">
      <c r="E289" s="1"/>
      <c r="L289" s="2"/>
      <c r="N289" s="2"/>
    </row>
    <row r="290" spans="5:14" ht="12.75">
      <c r="E290" s="1"/>
      <c r="L290" s="2"/>
      <c r="N290" s="2"/>
    </row>
    <row r="291" spans="5:14" ht="12.75">
      <c r="E291" s="1"/>
      <c r="L291" s="2"/>
      <c r="N291" s="2"/>
    </row>
    <row r="292" spans="5:14" ht="12.75">
      <c r="E292" s="1"/>
      <c r="L292" s="2"/>
      <c r="N292" s="2"/>
    </row>
    <row r="293" spans="5:14" ht="12.75">
      <c r="E293" s="1"/>
      <c r="L293" s="2"/>
      <c r="N293" s="2"/>
    </row>
    <row r="294" spans="5:14" ht="12.75">
      <c r="E294" s="1"/>
      <c r="L294" s="2"/>
      <c r="N294" s="2"/>
    </row>
    <row r="295" spans="5:14" ht="12.75">
      <c r="E295" s="1"/>
      <c r="L295" s="2"/>
      <c r="N295" s="2"/>
    </row>
    <row r="296" spans="5:14" ht="12.75">
      <c r="E296" s="1"/>
      <c r="L296" s="2"/>
      <c r="N296" s="2"/>
    </row>
    <row r="297" spans="5:14" ht="12.75">
      <c r="E297" s="1"/>
      <c r="L297" s="2"/>
      <c r="N297" s="2"/>
    </row>
    <row r="298" spans="5:14" ht="12.75">
      <c r="E298" s="1"/>
      <c r="L298" s="2"/>
      <c r="N298" s="2"/>
    </row>
    <row r="299" spans="5:14" ht="12.75">
      <c r="E299" s="1"/>
      <c r="L299" s="2"/>
      <c r="N299" s="2"/>
    </row>
    <row r="300" spans="5:14" ht="12.75">
      <c r="E300" s="1"/>
      <c r="L300" s="2"/>
      <c r="N300" s="2"/>
    </row>
    <row r="301" spans="5:14" ht="12.75">
      <c r="E301" s="1"/>
      <c r="L301" s="2"/>
      <c r="N301" s="2"/>
    </row>
    <row r="302" spans="5:14" ht="12.75">
      <c r="E302" s="1"/>
      <c r="L302" s="2"/>
      <c r="N302" s="2"/>
    </row>
    <row r="303" spans="5:14" ht="12.75">
      <c r="E303" s="1"/>
      <c r="L303" s="2"/>
      <c r="N303" s="2"/>
    </row>
    <row r="304" spans="5:14" ht="12.75">
      <c r="E304" s="1"/>
      <c r="L304" s="2"/>
      <c r="N304" s="2"/>
    </row>
    <row r="305" spans="5:14" ht="12.75">
      <c r="E305" s="1"/>
      <c r="L305" s="2"/>
      <c r="N305" s="2"/>
    </row>
    <row r="306" spans="5:14" ht="12.75">
      <c r="E306" s="1"/>
      <c r="L306" s="2"/>
      <c r="N306" s="2"/>
    </row>
    <row r="307" spans="5:14" ht="12.75">
      <c r="E307" s="1"/>
      <c r="L307" s="2"/>
      <c r="N307" s="2"/>
    </row>
    <row r="308" spans="5:14" ht="12.75">
      <c r="E308" s="1"/>
      <c r="L308" s="2"/>
      <c r="N308" s="2"/>
    </row>
    <row r="309" spans="5:14" ht="12.75">
      <c r="E309" s="1"/>
      <c r="L309" s="2"/>
      <c r="N309" s="2"/>
    </row>
    <row r="310" spans="5:14" ht="12.75">
      <c r="E310" s="1"/>
      <c r="L310" s="2"/>
      <c r="N310" s="2"/>
    </row>
    <row r="311" spans="5:14" ht="12.75">
      <c r="E311" s="1"/>
      <c r="L311" s="2"/>
      <c r="N311" s="2"/>
    </row>
    <row r="312" spans="5:14" ht="12.75">
      <c r="E312" s="1"/>
      <c r="L312" s="2"/>
      <c r="N312" s="2"/>
    </row>
    <row r="313" spans="5:14" ht="12.75">
      <c r="E313" s="1"/>
      <c r="L313" s="2"/>
      <c r="N313" s="2"/>
    </row>
    <row r="314" spans="5:14" ht="12.75">
      <c r="E314" s="1"/>
      <c r="L314" s="2"/>
      <c r="N314" s="2"/>
    </row>
    <row r="315" spans="5:14" ht="12.75">
      <c r="E315" s="1"/>
      <c r="L315" s="2"/>
      <c r="N315" s="2"/>
    </row>
    <row r="316" spans="5:14" ht="12.75">
      <c r="E316" s="1"/>
      <c r="L316" s="2"/>
      <c r="N316" s="2"/>
    </row>
    <row r="317" spans="5:14" ht="12.75">
      <c r="E317" s="1"/>
      <c r="L317" s="2"/>
      <c r="N317" s="2"/>
    </row>
    <row r="318" spans="5:14" ht="12.75">
      <c r="E318" s="1"/>
      <c r="L318" s="2"/>
      <c r="N318" s="2"/>
    </row>
    <row r="319" spans="5:14" ht="12.75">
      <c r="E319" s="1"/>
      <c r="L319" s="2"/>
      <c r="N319" s="2"/>
    </row>
    <row r="320" spans="5:14" ht="12.75">
      <c r="E320" s="1"/>
      <c r="L320" s="2"/>
      <c r="N320" s="2"/>
    </row>
    <row r="321" spans="5:14" ht="12.75">
      <c r="E321" s="1"/>
      <c r="L321" s="2"/>
      <c r="N321" s="2"/>
    </row>
    <row r="322" spans="5:14" ht="12.75">
      <c r="E322" s="1"/>
      <c r="L322" s="2"/>
      <c r="N322" s="2"/>
    </row>
    <row r="323" spans="5:14" ht="12.75">
      <c r="E323" s="1"/>
      <c r="L323" s="2"/>
      <c r="N323" s="2"/>
    </row>
    <row r="324" spans="5:14" ht="12.75">
      <c r="E324" s="1"/>
      <c r="L324" s="2"/>
      <c r="N324" s="2"/>
    </row>
    <row r="325" spans="5:14" ht="12.75">
      <c r="E325" s="1"/>
      <c r="L325" s="2"/>
      <c r="N325" s="2"/>
    </row>
    <row r="326" spans="5:14" ht="12.75">
      <c r="E326" s="1"/>
      <c r="L326" s="2"/>
      <c r="N326" s="2"/>
    </row>
    <row r="327" spans="5:14" ht="12.75">
      <c r="E327" s="1"/>
      <c r="L327" s="2"/>
      <c r="N327" s="2"/>
    </row>
    <row r="328" spans="5:14" ht="12.75">
      <c r="E328" s="1"/>
      <c r="L328" s="2"/>
      <c r="N328" s="2"/>
    </row>
    <row r="329" spans="5:14" ht="12.75">
      <c r="E329" s="1"/>
      <c r="L329" s="2"/>
      <c r="N329" s="2"/>
    </row>
    <row r="330" spans="5:14" ht="12.75">
      <c r="E330" s="1"/>
      <c r="L330" s="2"/>
      <c r="N330" s="2"/>
    </row>
    <row r="331" spans="5:14" ht="12.75">
      <c r="E331" s="1"/>
      <c r="L331" s="2"/>
      <c r="N331" s="2"/>
    </row>
    <row r="332" spans="5:14" ht="12.75">
      <c r="E332" s="1"/>
      <c r="L332" s="2"/>
      <c r="N332" s="2"/>
    </row>
    <row r="333" spans="5:14" ht="12.75">
      <c r="E333" s="1"/>
      <c r="L333" s="2"/>
      <c r="N333" s="2"/>
    </row>
    <row r="334" spans="5:14" ht="12.75">
      <c r="E334" s="1"/>
      <c r="L334" s="2"/>
      <c r="N334" s="2"/>
    </row>
    <row r="335" spans="5:14" ht="12.75">
      <c r="E335" s="1"/>
      <c r="L335" s="2"/>
      <c r="N335" s="2"/>
    </row>
    <row r="336" spans="5:14" ht="12.75">
      <c r="E336" s="1"/>
      <c r="L336" s="2"/>
      <c r="N336" s="2"/>
    </row>
    <row r="337" spans="5:14" ht="12.75">
      <c r="E337" s="1"/>
      <c r="L337" s="2"/>
      <c r="N337" s="2"/>
    </row>
    <row r="338" spans="5:14" ht="12.75">
      <c r="E338" s="1"/>
      <c r="L338" s="2"/>
      <c r="N338" s="2"/>
    </row>
    <row r="339" spans="5:14" ht="12.75">
      <c r="E339" s="1"/>
      <c r="L339" s="2"/>
      <c r="N339" s="2"/>
    </row>
    <row r="340" spans="5:14" ht="12.75">
      <c r="E340" s="1"/>
      <c r="L340" s="2"/>
      <c r="N340" s="2"/>
    </row>
    <row r="341" spans="5:14" ht="12.75">
      <c r="E341" s="1"/>
      <c r="L341" s="2"/>
      <c r="N341" s="2"/>
    </row>
    <row r="342" spans="5:14" ht="12.75">
      <c r="E342" s="1"/>
      <c r="L342" s="2"/>
      <c r="N342" s="2"/>
    </row>
    <row r="343" spans="5:14" ht="12.75">
      <c r="E343" s="1"/>
      <c r="L343" s="2"/>
      <c r="N343" s="2"/>
    </row>
    <row r="344" spans="5:14" ht="12.75">
      <c r="E344" s="1"/>
      <c r="L344" s="2"/>
      <c r="N344" s="2"/>
    </row>
    <row r="345" spans="5:14" ht="12.75">
      <c r="E345" s="1"/>
      <c r="L345" s="2"/>
      <c r="N345" s="2"/>
    </row>
    <row r="346" spans="5:14" ht="12.75">
      <c r="E346" s="1"/>
      <c r="L346" s="2"/>
      <c r="N346" s="2"/>
    </row>
    <row r="347" spans="5:14" ht="12.75">
      <c r="E347" s="1"/>
      <c r="L347" s="2"/>
      <c r="N347" s="2"/>
    </row>
    <row r="348" spans="5:14" ht="12.75">
      <c r="E348" s="1"/>
      <c r="L348" s="2"/>
      <c r="N348" s="2"/>
    </row>
    <row r="349" spans="5:14" ht="12.75">
      <c r="E349" s="1"/>
      <c r="L349" s="2"/>
      <c r="N349" s="2"/>
    </row>
    <row r="350" spans="5:14" ht="12.75">
      <c r="E350" s="1"/>
      <c r="L350" s="2"/>
      <c r="N350" s="2"/>
    </row>
    <row r="351" spans="5:14" ht="12.75">
      <c r="E351" s="1"/>
      <c r="L351" s="2"/>
      <c r="N351" s="2"/>
    </row>
    <row r="352" spans="5:14" ht="12.75">
      <c r="E352" s="1"/>
      <c r="L352" s="2"/>
      <c r="N352" s="2"/>
    </row>
    <row r="353" spans="5:14" ht="12.75">
      <c r="E353" s="1"/>
      <c r="L353" s="2"/>
      <c r="N353" s="2"/>
    </row>
    <row r="354" spans="5:14" ht="12.75">
      <c r="E354" s="1"/>
      <c r="L354" s="2"/>
      <c r="N354" s="2"/>
    </row>
    <row r="355" spans="5:14" ht="12.75">
      <c r="E355" s="1"/>
      <c r="L355" s="2"/>
      <c r="N355" s="2"/>
    </row>
    <row r="356" spans="5:14" ht="12.75">
      <c r="E356" s="1"/>
      <c r="L356" s="2"/>
      <c r="N356" s="2"/>
    </row>
    <row r="357" spans="5:14" ht="12.75">
      <c r="E357" s="1"/>
      <c r="L357" s="2"/>
      <c r="N357" s="2"/>
    </row>
    <row r="358" spans="5:14" ht="12.75">
      <c r="E358" s="1"/>
      <c r="L358" s="2"/>
      <c r="N358" s="2"/>
    </row>
    <row r="359" spans="5:14" ht="12.75">
      <c r="E359" s="1"/>
      <c r="L359" s="2"/>
      <c r="N359" s="2"/>
    </row>
    <row r="360" spans="5:14" ht="12.75">
      <c r="E360" s="1"/>
      <c r="L360" s="2"/>
      <c r="N360" s="2"/>
    </row>
    <row r="361" spans="5:14" ht="12.75">
      <c r="E361" s="1"/>
      <c r="L361" s="2"/>
      <c r="N361" s="2"/>
    </row>
    <row r="362" spans="5:14" ht="12.75">
      <c r="E362" s="1"/>
      <c r="L362" s="2"/>
      <c r="N362" s="2"/>
    </row>
    <row r="363" spans="5:14" ht="12.75">
      <c r="E363" s="1"/>
      <c r="L363" s="2"/>
      <c r="N363" s="2"/>
    </row>
    <row r="364" spans="5:14" ht="12.75">
      <c r="E364" s="1"/>
      <c r="L364" s="2"/>
      <c r="N364" s="2"/>
    </row>
    <row r="365" spans="5:14" ht="12.75">
      <c r="E365" s="1"/>
      <c r="L365" s="2"/>
      <c r="N365" s="2"/>
    </row>
    <row r="366" spans="5:14" ht="12.75">
      <c r="E366" s="1"/>
      <c r="L366" s="2"/>
      <c r="N366" s="2"/>
    </row>
    <row r="367" spans="5:14" ht="12.75">
      <c r="E367" s="1"/>
      <c r="L367" s="2"/>
      <c r="N367" s="2"/>
    </row>
    <row r="368" spans="5:14" ht="12.75">
      <c r="E368" s="1"/>
      <c r="L368" s="2"/>
      <c r="N368" s="2"/>
    </row>
    <row r="369" spans="5:14" ht="12.75">
      <c r="E369" s="1"/>
      <c r="L369" s="2"/>
      <c r="N369" s="2"/>
    </row>
    <row r="370" spans="5:14" ht="12.75">
      <c r="E370" s="1"/>
      <c r="L370" s="2"/>
      <c r="N370" s="2"/>
    </row>
    <row r="371" spans="5:14" ht="12.75">
      <c r="E371" s="1"/>
      <c r="L371" s="2"/>
      <c r="N371" s="2"/>
    </row>
    <row r="372" spans="5:14" ht="12.75">
      <c r="E372" s="1"/>
      <c r="L372" s="2"/>
      <c r="N372" s="2"/>
    </row>
    <row r="373" spans="5:14" ht="12.75">
      <c r="E373" s="1"/>
      <c r="L373" s="2"/>
      <c r="N373" s="2"/>
    </row>
    <row r="374" spans="5:14" ht="12.75">
      <c r="E374" s="1"/>
      <c r="L374" s="2"/>
      <c r="N374" s="2"/>
    </row>
    <row r="375" spans="5:14" ht="12.75">
      <c r="E375" s="1"/>
      <c r="L375" s="2"/>
      <c r="N375" s="2"/>
    </row>
    <row r="376" spans="5:14" ht="12.75">
      <c r="E376" s="1"/>
      <c r="L376" s="2"/>
      <c r="N376" s="2"/>
    </row>
    <row r="377" spans="5:14" ht="12.75">
      <c r="E377" s="1"/>
      <c r="L377" s="2"/>
      <c r="N377" s="2"/>
    </row>
    <row r="378" spans="5:14" ht="12.75">
      <c r="E378" s="1"/>
      <c r="L378" s="2"/>
      <c r="N378" s="2"/>
    </row>
    <row r="379" spans="5:14" ht="12.75">
      <c r="E379" s="1"/>
      <c r="L379" s="2"/>
      <c r="N379" s="2"/>
    </row>
    <row r="380" spans="5:14" ht="12.75">
      <c r="E380" s="1"/>
      <c r="L380" s="2"/>
      <c r="N380" s="2"/>
    </row>
    <row r="381" spans="5:14" ht="12.75">
      <c r="E381" s="1"/>
      <c r="L381" s="2"/>
      <c r="N381" s="2"/>
    </row>
    <row r="382" spans="5:14" ht="12.75">
      <c r="E382" s="1"/>
      <c r="L382" s="2"/>
      <c r="N382" s="2"/>
    </row>
    <row r="383" spans="5:14" ht="12.75">
      <c r="E383" s="1"/>
      <c r="L383" s="2"/>
      <c r="N383" s="2"/>
    </row>
    <row r="384" spans="5:14" ht="12.75">
      <c r="E384" s="1"/>
      <c r="L384" s="2"/>
      <c r="N384" s="2"/>
    </row>
    <row r="385" spans="5:14" ht="12.75">
      <c r="E385" s="1"/>
      <c r="L385" s="2"/>
      <c r="N385" s="2"/>
    </row>
    <row r="386" spans="5:14" ht="12.75">
      <c r="E386" s="1"/>
      <c r="L386" s="2"/>
      <c r="N386" s="2"/>
    </row>
    <row r="387" spans="5:14" ht="12.75">
      <c r="E387" s="1"/>
      <c r="L387" s="2"/>
      <c r="N387" s="2"/>
    </row>
    <row r="388" spans="5:14" ht="12.75">
      <c r="E388" s="1"/>
      <c r="L388" s="2"/>
      <c r="N388" s="2"/>
    </row>
    <row r="389" spans="5:14" ht="12.75">
      <c r="E389" s="1"/>
      <c r="L389" s="2"/>
      <c r="N389" s="2"/>
    </row>
    <row r="390" spans="5:14" ht="12.75">
      <c r="E390" s="1"/>
      <c r="L390" s="2"/>
      <c r="N390" s="2"/>
    </row>
    <row r="391" spans="5:14" ht="12.75">
      <c r="E391" s="1"/>
      <c r="L391" s="2"/>
      <c r="N391" s="2"/>
    </row>
    <row r="392" spans="5:14" ht="12.75">
      <c r="E392" s="1"/>
      <c r="L392" s="2"/>
      <c r="N392" s="2"/>
    </row>
    <row r="393" spans="5:14" ht="12.75">
      <c r="E393" s="1"/>
      <c r="L393" s="2"/>
      <c r="N393" s="2"/>
    </row>
    <row r="394" spans="5:14" ht="12.75">
      <c r="E394" s="1"/>
      <c r="L394" s="2"/>
      <c r="N394" s="2"/>
    </row>
    <row r="395" spans="5:14" ht="12.75">
      <c r="E395" s="1"/>
      <c r="L395" s="2"/>
      <c r="N395" s="2"/>
    </row>
    <row r="396" spans="5:14" ht="12.75">
      <c r="E396" s="1"/>
      <c r="L396" s="2"/>
      <c r="N396" s="2"/>
    </row>
    <row r="397" spans="5:14" ht="12.75">
      <c r="E397" s="1"/>
      <c r="L397" s="2"/>
      <c r="N397" s="2"/>
    </row>
    <row r="398" spans="5:14" ht="12.75">
      <c r="E398" s="1"/>
      <c r="L398" s="2"/>
      <c r="N398" s="2"/>
    </row>
    <row r="399" spans="5:14" ht="12.75">
      <c r="E399" s="1"/>
      <c r="L399" s="2"/>
      <c r="N399" s="2"/>
    </row>
    <row r="400" spans="5:14" ht="12.75">
      <c r="E400" s="1"/>
      <c r="L400" s="2"/>
      <c r="N400" s="2"/>
    </row>
    <row r="401" spans="5:14" ht="12.75">
      <c r="E401" s="1"/>
      <c r="L401" s="2"/>
      <c r="N401" s="2"/>
    </row>
    <row r="402" spans="5:14" ht="12.75">
      <c r="E402" s="1"/>
      <c r="L402" s="2"/>
      <c r="N402" s="2"/>
    </row>
    <row r="403" spans="5:14" ht="12.75">
      <c r="E403" s="1"/>
      <c r="L403" s="2"/>
      <c r="N403" s="2"/>
    </row>
    <row r="404" spans="5:14" ht="12.75">
      <c r="E404" s="1"/>
      <c r="L404" s="2"/>
      <c r="N404" s="2"/>
    </row>
    <row r="405" spans="5:14" ht="12.75">
      <c r="E405" s="1"/>
      <c r="L405" s="2"/>
      <c r="N405" s="2"/>
    </row>
    <row r="406" spans="5:14" ht="12.75">
      <c r="E406" s="1"/>
      <c r="L406" s="2"/>
      <c r="N406" s="2"/>
    </row>
    <row r="407" spans="5:14" ht="12.75">
      <c r="E407" s="1"/>
      <c r="L407" s="2"/>
      <c r="N407" s="2"/>
    </row>
    <row r="408" spans="5:14" ht="12.75">
      <c r="E408" s="1"/>
      <c r="L408" s="2"/>
      <c r="N408" s="2"/>
    </row>
    <row r="409" spans="5:14" ht="12.75">
      <c r="E409" s="1"/>
      <c r="L409" s="2"/>
      <c r="N409" s="2"/>
    </row>
    <row r="410" spans="5:14" ht="12.75">
      <c r="E410" s="1"/>
      <c r="L410" s="2"/>
      <c r="N410" s="2"/>
    </row>
    <row r="411" spans="5:14" ht="12.75">
      <c r="E411" s="1"/>
      <c r="L411" s="2"/>
      <c r="N411" s="2"/>
    </row>
    <row r="412" spans="5:14" ht="12.75">
      <c r="E412" s="1"/>
      <c r="L412" s="2"/>
      <c r="N412" s="2"/>
    </row>
    <row r="413" spans="5:14" ht="12.75">
      <c r="E413" s="1"/>
      <c r="L413" s="2"/>
      <c r="N413" s="2"/>
    </row>
    <row r="414" spans="5:14" ht="12.75">
      <c r="E414" s="1"/>
      <c r="L414" s="2"/>
      <c r="N414" s="2"/>
    </row>
    <row r="415" spans="5:14" ht="12.75">
      <c r="E415" s="1"/>
      <c r="L415" s="2"/>
      <c r="N415" s="2"/>
    </row>
    <row r="416" spans="5:14" ht="12.75">
      <c r="E416" s="1"/>
      <c r="L416" s="2"/>
      <c r="N416" s="2"/>
    </row>
    <row r="417" spans="5:14" ht="12.75">
      <c r="E417" s="1"/>
      <c r="L417" s="2"/>
      <c r="N417" s="2"/>
    </row>
    <row r="418" spans="5:14" ht="12.75">
      <c r="E418" s="1"/>
      <c r="L418" s="2"/>
      <c r="N418" s="2"/>
    </row>
    <row r="419" spans="5:14" ht="12.75">
      <c r="E419" s="1"/>
      <c r="L419" s="2"/>
      <c r="N419" s="2"/>
    </row>
    <row r="420" spans="5:14" ht="12.75">
      <c r="E420" s="1"/>
      <c r="L420" s="2"/>
      <c r="N420" s="2"/>
    </row>
    <row r="421" spans="5:14" ht="12.75">
      <c r="E421" s="1"/>
      <c r="L421" s="2"/>
      <c r="N421" s="2"/>
    </row>
    <row r="422" spans="5:14" ht="12.75">
      <c r="E422" s="1"/>
      <c r="L422" s="2"/>
      <c r="N422" s="2"/>
    </row>
    <row r="423" spans="5:14" ht="12.75">
      <c r="E423" s="1"/>
      <c r="L423" s="2"/>
      <c r="N423" s="2"/>
    </row>
    <row r="424" spans="5:14" ht="12.75">
      <c r="E424" s="1"/>
      <c r="L424" s="2"/>
      <c r="N424" s="2"/>
    </row>
    <row r="425" spans="5:14" ht="12.75">
      <c r="E425" s="1"/>
      <c r="L425" s="2"/>
      <c r="N425" s="2"/>
    </row>
    <row r="426" spans="5:14" ht="12.75">
      <c r="E426" s="1"/>
      <c r="L426" s="2"/>
      <c r="N426" s="2"/>
    </row>
    <row r="427" spans="5:14" ht="12.75">
      <c r="E427" s="1"/>
      <c r="L427" s="2"/>
      <c r="N427" s="2"/>
    </row>
    <row r="428" spans="5:14" ht="12.75">
      <c r="E428" s="1"/>
      <c r="L428" s="2"/>
      <c r="N428" s="2"/>
    </row>
    <row r="429" spans="5:14" ht="12.75">
      <c r="E429" s="1"/>
      <c r="L429" s="2"/>
      <c r="N429" s="2"/>
    </row>
    <row r="430" spans="5:14" ht="12.75">
      <c r="E430" s="1"/>
      <c r="L430" s="2"/>
      <c r="N430" s="2"/>
    </row>
    <row r="431" spans="5:14" ht="12.75">
      <c r="E431" s="1"/>
      <c r="L431" s="2"/>
      <c r="N431" s="2"/>
    </row>
    <row r="432" spans="5:14" ht="12.75">
      <c r="E432" s="1"/>
      <c r="L432" s="2"/>
      <c r="N432" s="2"/>
    </row>
    <row r="433" spans="5:14" ht="12.75">
      <c r="E433" s="1"/>
      <c r="L433" s="2"/>
      <c r="N433" s="2"/>
    </row>
    <row r="434" spans="5:14" ht="12.75">
      <c r="E434" s="1"/>
      <c r="L434" s="2"/>
      <c r="N434" s="2"/>
    </row>
    <row r="435" spans="5:14" ht="12.75">
      <c r="E435" s="1"/>
      <c r="L435" s="2"/>
      <c r="N435" s="2"/>
    </row>
    <row r="436" spans="5:14" ht="12.75">
      <c r="E436" s="1"/>
      <c r="L436" s="2"/>
      <c r="N436" s="2"/>
    </row>
    <row r="437" spans="5:14" ht="12.75">
      <c r="E437" s="1"/>
      <c r="L437" s="2"/>
      <c r="N437" s="2"/>
    </row>
    <row r="438" spans="5:14" ht="12.75">
      <c r="E438" s="1"/>
      <c r="L438" s="2"/>
      <c r="N438" s="2"/>
    </row>
    <row r="439" spans="5:14" ht="12.75">
      <c r="E439" s="1"/>
      <c r="L439" s="2"/>
      <c r="N439" s="2"/>
    </row>
    <row r="440" spans="5:14" ht="12.75">
      <c r="E440" s="1"/>
      <c r="L440" s="2"/>
      <c r="N440" s="2"/>
    </row>
    <row r="441" spans="5:14" ht="12.75">
      <c r="E441" s="1"/>
      <c r="L441" s="2"/>
      <c r="N441" s="2"/>
    </row>
    <row r="442" spans="5:14" ht="12.75">
      <c r="E442" s="1"/>
      <c r="L442" s="2"/>
      <c r="N442" s="2"/>
    </row>
    <row r="443" spans="5:14" ht="12.75">
      <c r="E443" s="1"/>
      <c r="L443" s="2"/>
      <c r="N443" s="2"/>
    </row>
    <row r="444" spans="5:14" ht="12.75">
      <c r="E444" s="1"/>
      <c r="L444" s="2"/>
      <c r="N444" s="2"/>
    </row>
    <row r="445" spans="5:14" ht="12.75">
      <c r="E445" s="1"/>
      <c r="L445" s="2"/>
      <c r="N445" s="2"/>
    </row>
    <row r="446" spans="5:14" ht="12.75">
      <c r="E446" s="1"/>
      <c r="L446" s="2"/>
      <c r="N446" s="2"/>
    </row>
    <row r="447" spans="5:14" ht="12.75">
      <c r="E447" s="1"/>
      <c r="L447" s="2"/>
      <c r="N447" s="2"/>
    </row>
    <row r="448" spans="5:14" ht="12.75">
      <c r="E448" s="1"/>
      <c r="L448" s="2"/>
      <c r="N448" s="2"/>
    </row>
    <row r="449" spans="5:14" ht="12.75">
      <c r="E449" s="1"/>
      <c r="L449" s="2"/>
      <c r="N449" s="2"/>
    </row>
    <row r="450" spans="5:14" ht="12.75">
      <c r="E450" s="1"/>
      <c r="L450" s="2"/>
      <c r="N450" s="2"/>
    </row>
    <row r="451" spans="5:14" ht="12.75">
      <c r="E451" s="1"/>
      <c r="L451" s="2"/>
      <c r="N451" s="2"/>
    </row>
    <row r="452" spans="5:14" ht="12.75">
      <c r="E452" s="1"/>
      <c r="L452" s="2"/>
      <c r="N452" s="2"/>
    </row>
    <row r="453" spans="5:14" ht="12.75">
      <c r="E453" s="1"/>
      <c r="L453" s="2"/>
      <c r="N453" s="2"/>
    </row>
    <row r="454" spans="5:14" ht="12.75">
      <c r="E454" s="1"/>
      <c r="L454" s="2"/>
      <c r="N454" s="2"/>
    </row>
    <row r="455" spans="5:14" ht="12.75">
      <c r="E455" s="1"/>
      <c r="L455" s="2"/>
      <c r="N455" s="2"/>
    </row>
    <row r="456" spans="5:14" ht="12.75">
      <c r="E456" s="1"/>
      <c r="L456" s="2"/>
      <c r="N456" s="2"/>
    </row>
    <row r="457" spans="5:14" ht="12.75">
      <c r="E457" s="1"/>
      <c r="L457" s="2"/>
      <c r="N457" s="2"/>
    </row>
    <row r="458" spans="5:14" ht="12.75">
      <c r="E458" s="1"/>
      <c r="L458" s="2"/>
      <c r="N458" s="2"/>
    </row>
    <row r="459" spans="5:14" ht="12.75">
      <c r="E459" s="1"/>
      <c r="L459" s="2"/>
      <c r="N459" s="2"/>
    </row>
    <row r="460" spans="5:14" ht="12.75">
      <c r="E460" s="1"/>
      <c r="L460" s="2"/>
      <c r="N460" s="2"/>
    </row>
    <row r="461" spans="5:14" ht="12.75">
      <c r="E461" s="1"/>
      <c r="L461" s="2"/>
      <c r="N461" s="2"/>
    </row>
    <row r="462" spans="5:14" ht="12.75">
      <c r="E462" s="1"/>
      <c r="L462" s="2"/>
      <c r="N462" s="2"/>
    </row>
    <row r="463" spans="5:14" ht="12.75">
      <c r="E463" s="1"/>
      <c r="L463" s="2"/>
      <c r="N463" s="2"/>
    </row>
    <row r="464" spans="5:14" ht="12.75">
      <c r="E464" s="1"/>
      <c r="L464" s="2"/>
      <c r="N464" s="2"/>
    </row>
    <row r="465" spans="5:14" ht="12.75">
      <c r="E465" s="1"/>
      <c r="L465" s="2"/>
      <c r="N465" s="2"/>
    </row>
    <row r="466" spans="5:14" ht="12.75">
      <c r="E466" s="1"/>
      <c r="L466" s="2"/>
      <c r="N466" s="2"/>
    </row>
    <row r="467" spans="5:14" ht="12.75">
      <c r="E467" s="1"/>
      <c r="L467" s="2"/>
      <c r="N467" s="2"/>
    </row>
    <row r="468" spans="5:14" ht="12.75">
      <c r="E468" s="1"/>
      <c r="L468" s="2"/>
      <c r="N468" s="2"/>
    </row>
    <row r="469" spans="5:14" ht="12.75">
      <c r="E469" s="1"/>
      <c r="L469" s="2"/>
      <c r="N469" s="2"/>
    </row>
    <row r="470" spans="5:14" ht="12.75">
      <c r="E470" s="1"/>
      <c r="L470" s="2"/>
      <c r="N470" s="2"/>
    </row>
    <row r="471" spans="5:14" ht="12.75">
      <c r="E471" s="1"/>
      <c r="L471" s="2"/>
      <c r="N471" s="2"/>
    </row>
    <row r="472" spans="5:14" ht="12.75">
      <c r="E472" s="1"/>
      <c r="L472" s="2"/>
      <c r="N472" s="2"/>
    </row>
    <row r="473" spans="5:14" ht="12.75">
      <c r="E473" s="1"/>
      <c r="L473" s="2"/>
      <c r="N473" s="2"/>
    </row>
    <row r="474" spans="5:14" ht="12.75">
      <c r="E474" s="1"/>
      <c r="L474" s="2"/>
      <c r="N474" s="2"/>
    </row>
    <row r="475" spans="5:14" ht="12.75">
      <c r="E475" s="1"/>
      <c r="L475" s="2"/>
      <c r="N475" s="2"/>
    </row>
    <row r="476" spans="5:14" ht="12.75">
      <c r="E476" s="1"/>
      <c r="L476" s="2"/>
      <c r="N476" s="2"/>
    </row>
    <row r="477" spans="5:14" ht="12.75">
      <c r="E477" s="1"/>
      <c r="L477" s="2"/>
      <c r="N477" s="2"/>
    </row>
    <row r="478" spans="5:14" ht="12.75">
      <c r="E478" s="1"/>
      <c r="L478" s="2"/>
      <c r="N478" s="2"/>
    </row>
    <row r="479" spans="5:14" ht="12.75">
      <c r="E479" s="1"/>
      <c r="L479" s="2"/>
      <c r="N479" s="2"/>
    </row>
    <row r="480" spans="5:14" ht="12.75">
      <c r="E480" s="1"/>
      <c r="L480" s="2"/>
      <c r="N480" s="2"/>
    </row>
    <row r="481" spans="5:14" ht="12.75">
      <c r="E481" s="1"/>
      <c r="L481" s="2"/>
      <c r="N481" s="2"/>
    </row>
    <row r="482" spans="5:14" ht="12.75">
      <c r="E482" s="1"/>
      <c r="L482" s="2"/>
      <c r="N482" s="2"/>
    </row>
    <row r="483" spans="5:14" ht="12.75">
      <c r="E483" s="1"/>
      <c r="L483" s="2"/>
      <c r="N483" s="2"/>
    </row>
    <row r="484" spans="5:14" ht="12.75">
      <c r="E484" s="1"/>
      <c r="L484" s="2"/>
      <c r="N484" s="2"/>
    </row>
    <row r="485" spans="5:14" ht="12.75">
      <c r="E485" s="1"/>
      <c r="L485" s="2"/>
      <c r="N485" s="2"/>
    </row>
    <row r="486" spans="5:14" ht="12.75">
      <c r="E486" s="1"/>
      <c r="L486" s="2"/>
      <c r="N486" s="2"/>
    </row>
    <row r="487" spans="5:14" ht="12.75">
      <c r="E487" s="1"/>
      <c r="L487" s="2"/>
      <c r="N487" s="2"/>
    </row>
    <row r="488" spans="5:14" ht="12.75">
      <c r="E488" s="1"/>
      <c r="L488" s="2"/>
      <c r="N488" s="2"/>
    </row>
    <row r="489" spans="5:14" ht="12.75">
      <c r="E489" s="1"/>
      <c r="L489" s="2"/>
      <c r="N489" s="2"/>
    </row>
    <row r="490" spans="5:14" ht="12.75">
      <c r="E490" s="1"/>
      <c r="L490" s="2"/>
      <c r="N490" s="2"/>
    </row>
    <row r="491" spans="5:14" ht="12.75">
      <c r="E491" s="1"/>
      <c r="L491" s="2"/>
      <c r="N491" s="2"/>
    </row>
    <row r="492" spans="5:14" ht="12.75">
      <c r="E492" s="1"/>
      <c r="L492" s="2"/>
      <c r="N492" s="2"/>
    </row>
    <row r="493" spans="5:14" ht="12.75">
      <c r="E493" s="1"/>
      <c r="L493" s="2"/>
      <c r="N493" s="2"/>
    </row>
    <row r="494" spans="5:14" ht="12.75">
      <c r="E494" s="1"/>
      <c r="L494" s="2"/>
      <c r="N494" s="2"/>
    </row>
    <row r="495" spans="5:14" ht="12.75">
      <c r="E495" s="1"/>
      <c r="L495" s="2"/>
      <c r="N495" s="2"/>
    </row>
    <row r="496" spans="5:14" ht="12.75">
      <c r="E496" s="1"/>
      <c r="L496" s="2"/>
      <c r="N496" s="2"/>
    </row>
    <row r="497" spans="5:14" ht="12.75">
      <c r="E497" s="1"/>
      <c r="L497" s="2"/>
      <c r="N497" s="2"/>
    </row>
    <row r="498" spans="5:14" ht="12.75">
      <c r="E498" s="1"/>
      <c r="L498" s="2"/>
      <c r="N498" s="2"/>
    </row>
    <row r="499" spans="5:14" ht="12.75">
      <c r="E499" s="1"/>
      <c r="L499" s="2"/>
      <c r="N499" s="2"/>
    </row>
    <row r="500" spans="5:14" ht="12.75">
      <c r="E500" s="1"/>
      <c r="L500" s="2"/>
      <c r="N500" s="2"/>
    </row>
    <row r="501" spans="5:14" ht="12.75">
      <c r="E501" s="1"/>
      <c r="L501" s="2"/>
      <c r="N501" s="2"/>
    </row>
    <row r="502" spans="5:14" ht="12.75">
      <c r="E502" s="1"/>
      <c r="L502" s="2"/>
      <c r="N502" s="2"/>
    </row>
    <row r="503" spans="5:14" ht="12.75">
      <c r="E503" s="1"/>
      <c r="L503" s="2"/>
      <c r="N503" s="2"/>
    </row>
    <row r="504" spans="5:14" ht="12.75">
      <c r="E504" s="1"/>
      <c r="L504" s="2"/>
      <c r="N504" s="2"/>
    </row>
    <row r="505" spans="5:14" ht="12.75">
      <c r="E505" s="1"/>
      <c r="L505" s="2"/>
      <c r="N505" s="2"/>
    </row>
    <row r="506" spans="5:14" ht="12.75">
      <c r="E506" s="1"/>
      <c r="L506" s="2"/>
      <c r="N506" s="2"/>
    </row>
    <row r="507" spans="5:14" ht="12.75">
      <c r="E507" s="1"/>
      <c r="L507" s="2"/>
      <c r="N507" s="2"/>
    </row>
    <row r="508" spans="5:14" ht="12.75">
      <c r="E508" s="1"/>
      <c r="L508" s="2"/>
      <c r="N508" s="2"/>
    </row>
    <row r="509" spans="5:14" ht="12.75">
      <c r="E509" s="1"/>
      <c r="L509" s="2"/>
      <c r="N509" s="2"/>
    </row>
    <row r="510" spans="5:14" ht="12.75">
      <c r="E510" s="1"/>
      <c r="L510" s="2"/>
      <c r="N510" s="2"/>
    </row>
    <row r="511" spans="5:14" ht="12.75">
      <c r="E511" s="1"/>
      <c r="L511" s="2"/>
      <c r="N511" s="2"/>
    </row>
    <row r="512" spans="5:14" ht="12.75">
      <c r="E512" s="1"/>
      <c r="L512" s="2"/>
      <c r="N512" s="2"/>
    </row>
    <row r="513" spans="5:14" ht="12.75">
      <c r="E513" s="1"/>
      <c r="L513" s="2"/>
      <c r="N513" s="2"/>
    </row>
    <row r="514" spans="5:14" ht="12.75">
      <c r="E514" s="1"/>
      <c r="L514" s="2"/>
      <c r="N514" s="2"/>
    </row>
    <row r="515" spans="5:14" ht="12.75">
      <c r="E515" s="1"/>
      <c r="L515" s="2"/>
      <c r="N515" s="2"/>
    </row>
    <row r="516" spans="5:14" ht="12.75">
      <c r="E516" s="1"/>
      <c r="L516" s="2"/>
      <c r="N516" s="2"/>
    </row>
    <row r="517" spans="5:14" ht="12.75">
      <c r="E517" s="1"/>
      <c r="L517" s="2"/>
      <c r="N517" s="2"/>
    </row>
    <row r="518" spans="5:14" ht="12.75">
      <c r="E518" s="1"/>
      <c r="L518" s="2"/>
      <c r="N518" s="2"/>
    </row>
    <row r="519" spans="5:14" ht="12.75">
      <c r="E519" s="1"/>
      <c r="L519" s="2"/>
      <c r="N519" s="2"/>
    </row>
    <row r="520" spans="5:14" ht="12.75">
      <c r="E520" s="1"/>
      <c r="L520" s="2"/>
      <c r="N520" s="2"/>
    </row>
    <row r="521" spans="5:14" ht="12.75">
      <c r="E521" s="1"/>
      <c r="L521" s="2"/>
      <c r="N521" s="2"/>
    </row>
    <row r="522" spans="5:14" ht="12.75">
      <c r="E522" s="1"/>
      <c r="L522" s="2"/>
      <c r="N522" s="2"/>
    </row>
    <row r="523" spans="5:14" ht="12.75">
      <c r="E523" s="1"/>
      <c r="L523" s="2"/>
      <c r="N523" s="2"/>
    </row>
    <row r="524" spans="5:14" ht="12.75">
      <c r="E524" s="1"/>
      <c r="L524" s="2"/>
      <c r="N524" s="2"/>
    </row>
    <row r="525" spans="5:14" ht="12.75">
      <c r="E525" s="1"/>
      <c r="L525" s="2"/>
      <c r="N525" s="2"/>
    </row>
    <row r="526" spans="5:14" ht="12.75">
      <c r="E526" s="1"/>
      <c r="L526" s="2"/>
      <c r="N526" s="2"/>
    </row>
    <row r="527" spans="5:14" ht="12.75">
      <c r="E527" s="1"/>
      <c r="L527" s="2"/>
      <c r="N527" s="2"/>
    </row>
    <row r="528" spans="5:14" ht="12.75">
      <c r="E528" s="1"/>
      <c r="L528" s="2"/>
      <c r="N528" s="2"/>
    </row>
    <row r="529" spans="5:14" ht="12.75">
      <c r="E529" s="1"/>
      <c r="L529" s="2"/>
      <c r="N529" s="2"/>
    </row>
    <row r="530" spans="5:14" ht="12.75">
      <c r="E530" s="1"/>
      <c r="L530" s="2"/>
      <c r="N530" s="2"/>
    </row>
    <row r="531" spans="5:14" ht="12.75">
      <c r="E531" s="1"/>
      <c r="L531" s="2"/>
      <c r="N531" s="2"/>
    </row>
    <row r="532" spans="5:14" ht="12.75">
      <c r="E532" s="1"/>
      <c r="L532" s="2"/>
      <c r="N532" s="2"/>
    </row>
    <row r="533" spans="5:14" ht="12.75">
      <c r="E533" s="1"/>
      <c r="L533" s="2"/>
      <c r="N533" s="2"/>
    </row>
    <row r="534" spans="5:14" ht="12.75">
      <c r="E534" s="1"/>
      <c r="L534" s="2"/>
      <c r="N534" s="2"/>
    </row>
    <row r="535" spans="5:14" ht="12.75">
      <c r="E535" s="1"/>
      <c r="L535" s="2"/>
      <c r="N535" s="2"/>
    </row>
    <row r="536" spans="5:14" ht="12.75">
      <c r="E536" s="1"/>
      <c r="L536" s="2"/>
      <c r="N536" s="2"/>
    </row>
    <row r="537" spans="5:14" ht="12.75">
      <c r="E537" s="1"/>
      <c r="L537" s="2"/>
      <c r="N537" s="2"/>
    </row>
    <row r="538" spans="5:14" ht="12.75">
      <c r="E538" s="1"/>
      <c r="L538" s="2"/>
      <c r="N538" s="2"/>
    </row>
    <row r="539" spans="5:14" ht="12.75">
      <c r="E539" s="1"/>
      <c r="L539" s="2"/>
      <c r="N539" s="2"/>
    </row>
    <row r="540" spans="5:14" ht="12.75">
      <c r="E540" s="1"/>
      <c r="L540" s="2"/>
      <c r="N540" s="2"/>
    </row>
    <row r="541" spans="5:14" ht="12.75">
      <c r="E541" s="1"/>
      <c r="L541" s="2"/>
      <c r="N541" s="2"/>
    </row>
    <row r="542" spans="5:14" ht="12.75">
      <c r="E542" s="1"/>
      <c r="L542" s="2"/>
      <c r="N542" s="2"/>
    </row>
    <row r="543" spans="5:14" ht="12.75">
      <c r="E543" s="1"/>
      <c r="L543" s="2"/>
      <c r="N543" s="2"/>
    </row>
    <row r="544" spans="5:14" ht="12.75">
      <c r="E544" s="1"/>
      <c r="L544" s="2"/>
      <c r="N544" s="2"/>
    </row>
    <row r="545" spans="5:14" ht="12.75">
      <c r="E545" s="1"/>
      <c r="L545" s="2"/>
      <c r="N545" s="2"/>
    </row>
    <row r="546" spans="5:14" ht="12.75">
      <c r="E546" s="1"/>
      <c r="L546" s="2"/>
      <c r="N546" s="2"/>
    </row>
    <row r="547" spans="5:14" ht="12.75">
      <c r="E547" s="1"/>
      <c r="L547" s="2"/>
      <c r="N547" s="2"/>
    </row>
    <row r="548" spans="5:14" ht="12.75">
      <c r="E548" s="1"/>
      <c r="L548" s="2"/>
      <c r="N548" s="2"/>
    </row>
    <row r="549" spans="5:14" ht="12.75">
      <c r="E549" s="1"/>
      <c r="L549" s="2"/>
      <c r="N549" s="2"/>
    </row>
    <row r="550" spans="5:14" ht="12.75">
      <c r="E550" s="1"/>
      <c r="L550" s="2"/>
      <c r="N550" s="2"/>
    </row>
    <row r="551" spans="5:14" ht="12.75">
      <c r="E551" s="1"/>
      <c r="L551" s="2"/>
      <c r="N551" s="2"/>
    </row>
    <row r="552" spans="5:14" ht="12.75">
      <c r="E552" s="1"/>
      <c r="L552" s="2"/>
      <c r="N552" s="2"/>
    </row>
    <row r="553" spans="5:14" ht="12.75">
      <c r="E553" s="1"/>
      <c r="L553" s="2"/>
      <c r="N553" s="2"/>
    </row>
    <row r="554" spans="5:14" ht="12.75">
      <c r="E554" s="1"/>
      <c r="L554" s="2"/>
      <c r="N554" s="2"/>
    </row>
    <row r="555" spans="5:14" ht="12.75">
      <c r="E555" s="1"/>
      <c r="L555" s="2"/>
      <c r="N555" s="2"/>
    </row>
    <row r="556" spans="5:14" ht="12.75">
      <c r="E556" s="1"/>
      <c r="L556" s="2"/>
      <c r="N556" s="2"/>
    </row>
    <row r="557" spans="5:14" ht="12.75">
      <c r="E557" s="1"/>
      <c r="L557" s="2"/>
      <c r="N557" s="2"/>
    </row>
    <row r="558" spans="5:14" ht="12.75">
      <c r="E558" s="1"/>
      <c r="L558" s="2"/>
      <c r="N558" s="2"/>
    </row>
    <row r="559" spans="5:14" ht="12.75">
      <c r="E559" s="1"/>
      <c r="L559" s="2"/>
      <c r="N559" s="2"/>
    </row>
    <row r="560" spans="5:14" ht="12.75">
      <c r="E560" s="1"/>
      <c r="L560" s="2"/>
      <c r="N560" s="2"/>
    </row>
    <row r="561" spans="5:14" ht="12.75">
      <c r="E561" s="1"/>
      <c r="L561" s="2"/>
      <c r="N561" s="2"/>
    </row>
    <row r="562" spans="5:14" ht="12.75">
      <c r="E562" s="1"/>
      <c r="L562" s="2"/>
      <c r="N562" s="2"/>
    </row>
    <row r="563" spans="5:14" ht="12.75">
      <c r="E563" s="1"/>
      <c r="L563" s="2"/>
      <c r="N563" s="2"/>
    </row>
    <row r="564" spans="5:14" ht="12.75">
      <c r="E564" s="1"/>
      <c r="L564" s="2"/>
      <c r="N564" s="2"/>
    </row>
    <row r="565" spans="5:14" ht="12.75">
      <c r="E565" s="1"/>
      <c r="L565" s="2"/>
      <c r="N565" s="2"/>
    </row>
    <row r="566" spans="5:14" ht="12.75">
      <c r="E566" s="1"/>
      <c r="L566" s="2"/>
      <c r="N566" s="2"/>
    </row>
    <row r="567" spans="5:14" ht="12.75">
      <c r="E567" s="1"/>
      <c r="L567" s="2"/>
      <c r="N567" s="2"/>
    </row>
    <row r="568" spans="5:14" ht="12.75">
      <c r="E568" s="1"/>
      <c r="L568" s="2"/>
      <c r="N568" s="2"/>
    </row>
    <row r="569" spans="5:14" ht="12.75">
      <c r="E569" s="1"/>
      <c r="L569" s="2"/>
      <c r="N569" s="2"/>
    </row>
    <row r="570" spans="5:14" ht="12.75">
      <c r="E570" s="1"/>
      <c r="L570" s="2"/>
      <c r="N570" s="2"/>
    </row>
    <row r="571" spans="5:14" ht="12.75">
      <c r="E571" s="1"/>
      <c r="L571" s="2"/>
      <c r="N571" s="2"/>
    </row>
    <row r="572" spans="5:14" ht="12.75">
      <c r="E572" s="1"/>
      <c r="L572" s="2"/>
      <c r="N572" s="2"/>
    </row>
    <row r="573" spans="5:14" ht="12.75">
      <c r="E573" s="1"/>
      <c r="L573" s="2"/>
      <c r="N573" s="2"/>
    </row>
    <row r="574" spans="5:14" ht="12.75">
      <c r="E574" s="1"/>
      <c r="L574" s="2"/>
      <c r="N574" s="2"/>
    </row>
    <row r="575" spans="5:14" ht="12.75">
      <c r="E575" s="1"/>
      <c r="L575" s="2"/>
      <c r="N575" s="2"/>
    </row>
    <row r="576" spans="5:14" ht="12.75">
      <c r="E576" s="1"/>
      <c r="L576" s="2"/>
      <c r="N576" s="2"/>
    </row>
    <row r="577" spans="5:14" ht="12.75">
      <c r="E577" s="1"/>
      <c r="L577" s="2"/>
      <c r="N577" s="2"/>
    </row>
    <row r="578" spans="5:14" ht="12.75">
      <c r="E578" s="1"/>
      <c r="L578" s="2"/>
      <c r="N578" s="2"/>
    </row>
    <row r="579" spans="5:14" ht="12.75">
      <c r="E579" s="1"/>
      <c r="L579" s="2"/>
      <c r="N579" s="2"/>
    </row>
    <row r="580" spans="5:14" ht="12.75">
      <c r="E580" s="1"/>
      <c r="L580" s="2"/>
      <c r="N580" s="2"/>
    </row>
    <row r="581" spans="5:14" ht="12.75">
      <c r="E581" s="1"/>
      <c r="L581" s="2"/>
      <c r="N581" s="2"/>
    </row>
    <row r="582" spans="5:14" ht="12.75">
      <c r="E582" s="1"/>
      <c r="L582" s="2"/>
      <c r="N582" s="2"/>
    </row>
    <row r="583" spans="5:14" ht="12.75">
      <c r="E583" s="1"/>
      <c r="L583" s="2"/>
      <c r="N583" s="2"/>
    </row>
    <row r="584" spans="5:14" ht="12.75">
      <c r="E584" s="1"/>
      <c r="L584" s="2"/>
      <c r="N584" s="2"/>
    </row>
    <row r="585" spans="5:14" ht="12.75">
      <c r="E585" s="1"/>
      <c r="L585" s="2"/>
      <c r="N585" s="2"/>
    </row>
    <row r="586" spans="5:14" ht="12.75">
      <c r="E586" s="1"/>
      <c r="L586" s="2"/>
      <c r="N586" s="2"/>
    </row>
    <row r="587" spans="5:14" ht="12.75">
      <c r="E587" s="1"/>
      <c r="L587" s="2"/>
      <c r="N587" s="2"/>
    </row>
    <row r="588" spans="5:14" ht="12.75">
      <c r="E588" s="1"/>
      <c r="L588" s="2"/>
      <c r="N588" s="2"/>
    </row>
    <row r="589" spans="5:14" ht="12.75">
      <c r="E589" s="1"/>
      <c r="L589" s="2"/>
      <c r="N589" s="2"/>
    </row>
    <row r="590" spans="5:14" ht="12.75">
      <c r="E590" s="1"/>
      <c r="L590" s="2"/>
      <c r="N590" s="2"/>
    </row>
    <row r="591" spans="5:14" ht="12.75">
      <c r="E591" s="1"/>
      <c r="L591" s="2"/>
      <c r="N591" s="2"/>
    </row>
    <row r="592" spans="5:14" ht="12.75">
      <c r="E592" s="1"/>
      <c r="L592" s="2"/>
      <c r="N592" s="2"/>
    </row>
    <row r="593" spans="5:14" ht="12.75">
      <c r="E593" s="1"/>
      <c r="L593" s="2"/>
      <c r="N593" s="2"/>
    </row>
    <row r="594" spans="5:14" ht="12.75">
      <c r="E594" s="1"/>
      <c r="L594" s="2"/>
      <c r="N594" s="2"/>
    </row>
    <row r="595" spans="5:14" ht="12.75">
      <c r="E595" s="1"/>
      <c r="L595" s="2"/>
      <c r="N595" s="2"/>
    </row>
    <row r="596" spans="5:14" ht="12.75">
      <c r="E596" s="1"/>
      <c r="L596" s="2"/>
      <c r="N596" s="2"/>
    </row>
    <row r="597" spans="5:14" ht="12.75">
      <c r="E597" s="1"/>
      <c r="L597" s="2"/>
      <c r="N597" s="2"/>
    </row>
    <row r="598" spans="5:14" ht="12.75">
      <c r="E598" s="1"/>
      <c r="L598" s="2"/>
      <c r="N598" s="2"/>
    </row>
    <row r="599" spans="5:14" ht="12.75">
      <c r="E599" s="1"/>
      <c r="L599" s="2"/>
      <c r="N599" s="2"/>
    </row>
    <row r="600" spans="5:14" ht="12.75">
      <c r="E600" s="1"/>
      <c r="L600" s="2"/>
      <c r="N600" s="2"/>
    </row>
    <row r="601" spans="5:14" ht="12.75">
      <c r="E601" s="1"/>
      <c r="L601" s="2"/>
      <c r="N601" s="2"/>
    </row>
    <row r="602" spans="5:14" ht="12.75">
      <c r="E602" s="1"/>
      <c r="L602" s="2"/>
      <c r="N602" s="2"/>
    </row>
    <row r="603" spans="5:14" ht="12.75">
      <c r="E603" s="1"/>
      <c r="L603" s="2"/>
      <c r="N603" s="2"/>
    </row>
    <row r="604" spans="5:14" ht="12.75">
      <c r="E604" s="1"/>
      <c r="L604" s="2"/>
      <c r="N604" s="2"/>
    </row>
    <row r="605" spans="5:14" ht="12.75">
      <c r="E605" s="1"/>
      <c r="L605" s="2"/>
      <c r="N605" s="2"/>
    </row>
    <row r="606" spans="5:14" ht="12.75">
      <c r="E606" s="1"/>
      <c r="L606" s="2"/>
      <c r="N606" s="2"/>
    </row>
    <row r="607" spans="5:14" ht="12.75">
      <c r="E607" s="1"/>
      <c r="L607" s="2"/>
      <c r="N607" s="2"/>
    </row>
    <row r="608" spans="5:14" ht="12.75">
      <c r="E608" s="1"/>
      <c r="L608" s="2"/>
      <c r="N608" s="2"/>
    </row>
    <row r="609" spans="5:14" ht="12.75">
      <c r="E609" s="1"/>
      <c r="L609" s="2"/>
      <c r="N609" s="2"/>
    </row>
    <row r="610" spans="5:14" ht="12.75">
      <c r="E610" s="1"/>
      <c r="L610" s="2"/>
      <c r="N610" s="2"/>
    </row>
    <row r="611" spans="5:14" ht="12.75">
      <c r="E611" s="1"/>
      <c r="L611" s="2"/>
      <c r="N611" s="2"/>
    </row>
    <row r="612" spans="5:14" ht="12.75">
      <c r="E612" s="1"/>
      <c r="L612" s="2"/>
      <c r="N612" s="2"/>
    </row>
    <row r="613" spans="5:14" ht="12.75">
      <c r="E613" s="1"/>
      <c r="L613" s="2"/>
      <c r="N613" s="2"/>
    </row>
    <row r="614" spans="5:14" ht="12.75">
      <c r="E614" s="1"/>
      <c r="L614" s="2"/>
      <c r="N614" s="2"/>
    </row>
    <row r="615" spans="5:14" ht="12.75">
      <c r="E615" s="1"/>
      <c r="L615" s="2"/>
      <c r="N615" s="2"/>
    </row>
    <row r="616" spans="5:14" ht="12.75">
      <c r="E616" s="1"/>
      <c r="L616" s="2"/>
      <c r="N616" s="2"/>
    </row>
    <row r="617" spans="5:14" ht="12.75">
      <c r="E617" s="1"/>
      <c r="L617" s="2"/>
      <c r="N617" s="2"/>
    </row>
    <row r="618" spans="5:14" ht="12.75">
      <c r="E618" s="1"/>
      <c r="L618" s="2"/>
      <c r="N618" s="2"/>
    </row>
    <row r="619" spans="5:14" ht="12.75">
      <c r="E619" s="1"/>
      <c r="L619" s="2"/>
      <c r="N619" s="2"/>
    </row>
    <row r="620" spans="5:14" ht="12.75">
      <c r="E620" s="1"/>
      <c r="L620" s="2"/>
      <c r="N620" s="2"/>
    </row>
    <row r="621" spans="5:14" ht="12.75">
      <c r="E621" s="1"/>
      <c r="L621" s="2"/>
      <c r="N621" s="2"/>
    </row>
    <row r="622" spans="5:14" ht="12.75">
      <c r="E622" s="1"/>
      <c r="L622" s="2"/>
      <c r="N622" s="2"/>
    </row>
    <row r="623" spans="5:14" ht="12.75">
      <c r="E623" s="1"/>
      <c r="L623" s="2"/>
      <c r="N623" s="2"/>
    </row>
    <row r="624" spans="5:14" ht="12.75">
      <c r="E624" s="1"/>
      <c r="L624" s="2"/>
      <c r="N624" s="2"/>
    </row>
    <row r="625" spans="5:14" ht="12.75">
      <c r="E625" s="1"/>
      <c r="L625" s="2"/>
      <c r="N625" s="2"/>
    </row>
    <row r="626" spans="5:14" ht="12.75">
      <c r="E626" s="1"/>
      <c r="L626" s="2"/>
      <c r="N626" s="2"/>
    </row>
    <row r="627" spans="5:14" ht="12.75">
      <c r="E627" s="1"/>
      <c r="L627" s="2"/>
      <c r="N627" s="2"/>
    </row>
    <row r="628" spans="5:14" ht="12.75">
      <c r="E628" s="1"/>
      <c r="L628" s="2"/>
      <c r="N628" s="2"/>
    </row>
    <row r="629" spans="5:14" ht="12.75">
      <c r="E629" s="1"/>
      <c r="L629" s="2"/>
      <c r="N629" s="2"/>
    </row>
    <row r="630" spans="5:14" ht="12.75">
      <c r="E630" s="1"/>
      <c r="L630" s="2"/>
      <c r="N630" s="2"/>
    </row>
    <row r="631" spans="5:14" ht="12.75">
      <c r="E631" s="1"/>
      <c r="L631" s="2"/>
      <c r="N631" s="2"/>
    </row>
    <row r="632" spans="5:14" ht="12.75">
      <c r="E632" s="1"/>
      <c r="L632" s="2"/>
      <c r="N632" s="2"/>
    </row>
    <row r="633" spans="5:14" ht="12.75">
      <c r="E633" s="1"/>
      <c r="L633" s="2"/>
      <c r="N633" s="2"/>
    </row>
    <row r="634" spans="5:14" ht="12.75">
      <c r="E634" s="1"/>
      <c r="L634" s="2"/>
      <c r="N634" s="2"/>
    </row>
    <row r="635" spans="5:14" ht="12.75">
      <c r="E635" s="1"/>
      <c r="L635" s="2"/>
      <c r="N635" s="2"/>
    </row>
    <row r="636" spans="5:14" ht="12.75">
      <c r="E636" s="1"/>
      <c r="L636" s="2"/>
      <c r="N636" s="2"/>
    </row>
    <row r="637" spans="5:14" ht="12.75">
      <c r="E637" s="1"/>
      <c r="L637" s="2"/>
      <c r="N637" s="2"/>
    </row>
    <row r="638" spans="5:14" ht="12.75">
      <c r="E638" s="1"/>
      <c r="L638" s="2"/>
      <c r="N638" s="2"/>
    </row>
    <row r="639" spans="5:14" ht="12.75">
      <c r="E639" s="1"/>
      <c r="L639" s="2"/>
      <c r="N639" s="2"/>
    </row>
    <row r="640" spans="5:14" ht="12.75">
      <c r="E640" s="1"/>
      <c r="L640" s="2"/>
      <c r="N640" s="2"/>
    </row>
    <row r="641" spans="5:14" ht="12.75">
      <c r="E641" s="1"/>
      <c r="L641" s="2"/>
      <c r="N641" s="2"/>
    </row>
    <row r="642" spans="5:14" ht="12.75">
      <c r="E642" s="1"/>
      <c r="L642" s="2"/>
      <c r="N642" s="2"/>
    </row>
    <row r="643" spans="5:14" ht="12.75">
      <c r="E643" s="1"/>
      <c r="L643" s="2"/>
      <c r="N643" s="2"/>
    </row>
    <row r="644" spans="5:14" ht="12.75">
      <c r="E644" s="1"/>
      <c r="L644" s="2"/>
      <c r="N644" s="2"/>
    </row>
    <row r="645" spans="5:14" ht="12.75">
      <c r="E645" s="1"/>
      <c r="L645" s="2"/>
      <c r="N645" s="2"/>
    </row>
    <row r="646" spans="5:14" ht="12.75">
      <c r="E646" s="1"/>
      <c r="L646" s="2"/>
      <c r="N646" s="2"/>
    </row>
    <row r="647" spans="5:14" ht="12.75">
      <c r="E647" s="1"/>
      <c r="L647" s="2"/>
      <c r="N647" s="2"/>
    </row>
    <row r="648" spans="5:14" ht="12.75">
      <c r="E648" s="1"/>
      <c r="L648" s="2"/>
      <c r="N648" s="2"/>
    </row>
    <row r="649" spans="5:14" ht="12.75">
      <c r="E649" s="1"/>
      <c r="L649" s="2"/>
      <c r="N649" s="2"/>
    </row>
    <row r="650" spans="5:14" ht="12.75">
      <c r="E650" s="1"/>
      <c r="L650" s="2"/>
      <c r="N650" s="2"/>
    </row>
    <row r="651" spans="5:14" ht="12.75">
      <c r="E651" s="1"/>
      <c r="L651" s="2"/>
      <c r="N651" s="2"/>
    </row>
    <row r="652" spans="5:14" ht="12.75">
      <c r="E652" s="1"/>
      <c r="L652" s="2"/>
      <c r="N652" s="2"/>
    </row>
    <row r="653" spans="5:14" ht="12.75">
      <c r="E653" s="1"/>
      <c r="L653" s="2"/>
      <c r="N653" s="2"/>
    </row>
    <row r="654" spans="5:14" ht="12.75">
      <c r="E654" s="1"/>
      <c r="L654" s="2"/>
      <c r="N654" s="2"/>
    </row>
    <row r="655" spans="5:14" ht="12.75">
      <c r="E655" s="1"/>
      <c r="L655" s="2"/>
      <c r="N655" s="2"/>
    </row>
    <row r="656" spans="5:14" ht="12.75">
      <c r="E656" s="1"/>
      <c r="L656" s="2"/>
      <c r="N656" s="2"/>
    </row>
    <row r="657" spans="5:14" ht="12.75">
      <c r="E657" s="1"/>
      <c r="L657" s="2"/>
      <c r="N657" s="2"/>
    </row>
    <row r="658" spans="5:14" ht="12.75">
      <c r="E658" s="1"/>
      <c r="L658" s="2"/>
      <c r="N658" s="2"/>
    </row>
    <row r="659" spans="5:14" ht="12.75">
      <c r="E659" s="1"/>
      <c r="L659" s="2"/>
      <c r="N659" s="2"/>
    </row>
    <row r="660" spans="5:14" ht="12.75">
      <c r="E660" s="1"/>
      <c r="L660" s="2"/>
      <c r="N660" s="2"/>
    </row>
    <row r="661" spans="5:14" ht="12.75">
      <c r="E661" s="1"/>
      <c r="L661" s="2"/>
      <c r="N661" s="2"/>
    </row>
    <row r="662" spans="5:14" ht="12.75">
      <c r="E662" s="1"/>
      <c r="L662" s="2"/>
      <c r="N662" s="2"/>
    </row>
    <row r="663" spans="5:14" ht="12.75">
      <c r="E663" s="1"/>
      <c r="L663" s="2"/>
      <c r="N663" s="2"/>
    </row>
    <row r="664" spans="5:14" ht="12.75">
      <c r="E664" s="1"/>
      <c r="L664" s="2"/>
      <c r="N664" s="2"/>
    </row>
    <row r="665" spans="5:14" ht="12.75">
      <c r="E665" s="1"/>
      <c r="L665" s="2"/>
      <c r="N665" s="2"/>
    </row>
    <row r="666" spans="5:14" ht="12.75">
      <c r="E666" s="1"/>
      <c r="L666" s="2"/>
      <c r="N666" s="2"/>
    </row>
    <row r="667" spans="5:14" ht="12.75">
      <c r="E667" s="1"/>
      <c r="L667" s="2"/>
      <c r="N667" s="2"/>
    </row>
    <row r="668" spans="5:14" ht="12.75">
      <c r="E668" s="1"/>
      <c r="L668" s="2"/>
      <c r="N668" s="2"/>
    </row>
    <row r="669" spans="5:14" ht="12.75">
      <c r="E669" s="1"/>
      <c r="L669" s="2"/>
      <c r="N669" s="2"/>
    </row>
    <row r="670" spans="5:14" ht="12.75">
      <c r="E670" s="1"/>
      <c r="L670" s="2"/>
      <c r="N670" s="2"/>
    </row>
    <row r="671" spans="5:14" ht="12.75">
      <c r="E671" s="1"/>
      <c r="L671" s="2"/>
      <c r="N671" s="2"/>
    </row>
    <row r="672" spans="5:14" ht="12.75">
      <c r="E672" s="1"/>
      <c r="L672" s="2"/>
      <c r="N672" s="2"/>
    </row>
    <row r="673" spans="5:14" ht="12.75">
      <c r="E673" s="1"/>
      <c r="L673" s="2"/>
      <c r="N673" s="2"/>
    </row>
    <row r="674" spans="5:14" ht="12.75">
      <c r="E674" s="1"/>
      <c r="L674" s="2"/>
      <c r="N674" s="2"/>
    </row>
    <row r="675" spans="5:14" ht="12.75">
      <c r="E675" s="1"/>
      <c r="L675" s="2"/>
      <c r="N675" s="2"/>
    </row>
    <row r="676" spans="5:14" ht="12.75">
      <c r="E676" s="1"/>
      <c r="L676" s="2"/>
      <c r="N676" s="2"/>
    </row>
    <row r="677" spans="5:14" ht="12.75">
      <c r="E677" s="1"/>
      <c r="L677" s="2"/>
      <c r="N677" s="2"/>
    </row>
    <row r="678" spans="5:14" ht="12.75">
      <c r="E678" s="1"/>
      <c r="L678" s="2"/>
      <c r="N678" s="2"/>
    </row>
    <row r="679" spans="5:14" ht="12.75">
      <c r="E679" s="1"/>
      <c r="L679" s="2"/>
      <c r="N679" s="2"/>
    </row>
    <row r="680" spans="5:14" ht="12.75">
      <c r="E680" s="1"/>
      <c r="L680" s="2"/>
      <c r="N680" s="2"/>
    </row>
    <row r="681" spans="5:14" ht="12.75">
      <c r="E681" s="1"/>
      <c r="L681" s="2"/>
      <c r="N681" s="2"/>
    </row>
    <row r="682" spans="5:14" ht="12.75">
      <c r="E682" s="1"/>
      <c r="L682" s="2"/>
      <c r="N682" s="2"/>
    </row>
    <row r="683" spans="5:14" ht="12.75">
      <c r="E683" s="1"/>
      <c r="L683" s="2"/>
      <c r="N683" s="2"/>
    </row>
    <row r="684" spans="5:14" ht="12.75">
      <c r="E684" s="1"/>
      <c r="L684" s="2"/>
      <c r="N684" s="2"/>
    </row>
    <row r="685" spans="5:14" ht="12.75">
      <c r="E685" s="1"/>
      <c r="L685" s="2"/>
      <c r="N685" s="2"/>
    </row>
    <row r="686" spans="5:14" ht="12.75">
      <c r="E686" s="1"/>
      <c r="L686" s="2"/>
      <c r="N686" s="2"/>
    </row>
    <row r="687" spans="5:14" ht="12.75">
      <c r="E687" s="1"/>
      <c r="L687" s="2"/>
      <c r="N687" s="2"/>
    </row>
    <row r="688" spans="5:14" ht="12.75">
      <c r="E688" s="1"/>
      <c r="L688" s="2"/>
      <c r="N688" s="2"/>
    </row>
    <row r="689" spans="5:14" ht="12.75">
      <c r="E689" s="1"/>
      <c r="L689" s="2"/>
      <c r="N689" s="2"/>
    </row>
    <row r="690" spans="5:14" ht="12.75">
      <c r="E690" s="1"/>
      <c r="L690" s="2"/>
      <c r="N690" s="2"/>
    </row>
    <row r="691" spans="5:14" ht="12.75">
      <c r="E691" s="1"/>
      <c r="L691" s="2"/>
      <c r="N691" s="2"/>
    </row>
    <row r="692" spans="5:14" ht="12.75">
      <c r="E692" s="1"/>
      <c r="L692" s="2"/>
      <c r="N692" s="2"/>
    </row>
    <row r="693" spans="5:14" ht="12.75">
      <c r="E693" s="1"/>
      <c r="L693" s="2"/>
      <c r="N693" s="2"/>
    </row>
    <row r="694" spans="5:14" ht="12.75">
      <c r="E694" s="1"/>
      <c r="L694" s="2"/>
      <c r="N694" s="2"/>
    </row>
    <row r="695" spans="5:14" ht="12.75">
      <c r="E695" s="1"/>
      <c r="L695" s="2"/>
      <c r="N695" s="2"/>
    </row>
    <row r="696" spans="5:14" ht="12.75">
      <c r="E696" s="1"/>
      <c r="L696" s="2"/>
      <c r="N696" s="2"/>
    </row>
    <row r="697" spans="5:14" ht="12.75">
      <c r="E697" s="1"/>
      <c r="L697" s="2"/>
      <c r="N697" s="2"/>
    </row>
    <row r="698" spans="5:14" ht="12.75">
      <c r="E698" s="1"/>
      <c r="L698" s="2"/>
      <c r="N698" s="2"/>
    </row>
    <row r="699" spans="5:14" ht="12.75">
      <c r="E699" s="1"/>
      <c r="L699" s="2"/>
      <c r="N699" s="2"/>
    </row>
    <row r="700" spans="5:14" ht="12.75">
      <c r="E700" s="1"/>
      <c r="L700" s="2"/>
      <c r="N700" s="2"/>
    </row>
    <row r="701" spans="5:14" ht="12.75">
      <c r="E701" s="1"/>
      <c r="L701" s="2"/>
      <c r="N701" s="2"/>
    </row>
    <row r="702" spans="5:14" ht="12.75">
      <c r="E702" s="1"/>
      <c r="L702" s="2"/>
      <c r="N702" s="2"/>
    </row>
    <row r="703" spans="5:14" ht="12.75">
      <c r="E703" s="1"/>
      <c r="L703" s="2"/>
      <c r="N703" s="2"/>
    </row>
    <row r="704" spans="5:14" ht="12.75">
      <c r="E704" s="1"/>
      <c r="L704" s="2"/>
      <c r="N704" s="2"/>
    </row>
    <row r="705" spans="5:14" ht="12.75">
      <c r="E705" s="1"/>
      <c r="L705" s="2"/>
      <c r="N705" s="2"/>
    </row>
    <row r="706" spans="5:14" ht="12.75">
      <c r="E706" s="1"/>
      <c r="L706" s="2"/>
      <c r="N706" s="2"/>
    </row>
    <row r="707" spans="5:14" ht="12.75">
      <c r="E707" s="1"/>
      <c r="L707" s="2"/>
      <c r="N707" s="2"/>
    </row>
    <row r="708" spans="5:14" ht="12.75">
      <c r="E708" s="1"/>
      <c r="L708" s="2"/>
      <c r="N708" s="2"/>
    </row>
    <row r="709" spans="5:14" ht="12.75">
      <c r="E709" s="1"/>
      <c r="L709" s="2"/>
      <c r="N709" s="2"/>
    </row>
    <row r="710" spans="5:14" ht="12.75">
      <c r="E710" s="1"/>
      <c r="L710" s="2"/>
      <c r="N710" s="2"/>
    </row>
    <row r="711" spans="5:14" ht="12.75">
      <c r="E711" s="1"/>
      <c r="L711" s="2"/>
      <c r="N711" s="2"/>
    </row>
    <row r="712" spans="5:14" ht="12.75">
      <c r="E712" s="1"/>
      <c r="L712" s="2"/>
      <c r="N712" s="2"/>
    </row>
    <row r="713" spans="5:14" ht="12.75">
      <c r="E713" s="1"/>
      <c r="L713" s="2"/>
      <c r="N713" s="2"/>
    </row>
    <row r="714" spans="5:14" ht="12.75">
      <c r="E714" s="1"/>
      <c r="L714" s="2"/>
      <c r="N714" s="2"/>
    </row>
    <row r="715" spans="5:14" ht="12.75">
      <c r="E715" s="1"/>
      <c r="L715" s="2"/>
      <c r="N715" s="2"/>
    </row>
    <row r="716" spans="5:14" ht="12.75">
      <c r="E716" s="1"/>
      <c r="L716" s="2"/>
      <c r="N716" s="2"/>
    </row>
    <row r="717" spans="5:14" ht="12.75">
      <c r="E717" s="1"/>
      <c r="L717" s="2"/>
      <c r="N717" s="2"/>
    </row>
    <row r="718" spans="5:14" ht="12.75">
      <c r="E718" s="1"/>
      <c r="L718" s="2"/>
      <c r="N718" s="2"/>
    </row>
    <row r="719" spans="5:14" ht="12.75">
      <c r="E719" s="1"/>
      <c r="L719" s="2"/>
      <c r="N719" s="2"/>
    </row>
    <row r="720" spans="5:14" ht="12.75">
      <c r="E720" s="1"/>
      <c r="L720" s="2"/>
      <c r="N720" s="2"/>
    </row>
    <row r="721" spans="5:14" ht="12.75">
      <c r="E721" s="1"/>
      <c r="L721" s="2"/>
      <c r="N721" s="2"/>
    </row>
    <row r="722" spans="5:14" ht="12.75">
      <c r="E722" s="1"/>
      <c r="L722" s="2"/>
      <c r="N722" s="2"/>
    </row>
    <row r="723" spans="5:14" ht="12.75">
      <c r="E723" s="1"/>
      <c r="L723" s="2"/>
      <c r="N723" s="2"/>
    </row>
    <row r="724" spans="5:14" ht="12.75">
      <c r="E724" s="1"/>
      <c r="L724" s="2"/>
      <c r="N724" s="2"/>
    </row>
    <row r="725" spans="5:14" ht="12.75">
      <c r="E725" s="1"/>
      <c r="L725" s="2"/>
      <c r="N725" s="2"/>
    </row>
    <row r="726" spans="5:14" ht="12.75">
      <c r="E726" s="1"/>
      <c r="L726" s="2"/>
      <c r="N726" s="2"/>
    </row>
    <row r="727" spans="5:14" ht="12.75">
      <c r="E727" s="1"/>
      <c r="L727" s="2"/>
      <c r="N727" s="2"/>
    </row>
    <row r="728" spans="5:14" ht="12.75">
      <c r="E728" s="1"/>
      <c r="L728" s="2"/>
      <c r="N728" s="2"/>
    </row>
    <row r="729" spans="5:14" ht="12.75">
      <c r="E729" s="1"/>
      <c r="L729" s="2"/>
      <c r="N729" s="2"/>
    </row>
    <row r="730" spans="5:14" ht="12.75">
      <c r="E730" s="1"/>
      <c r="L730" s="2"/>
      <c r="N730" s="2"/>
    </row>
    <row r="731" spans="5:14" ht="12.75">
      <c r="E731" s="1"/>
      <c r="L731" s="2"/>
      <c r="N731" s="2"/>
    </row>
    <row r="732" spans="5:14" ht="12.75">
      <c r="E732" s="1"/>
      <c r="L732" s="2"/>
      <c r="N732" s="2"/>
    </row>
    <row r="733" spans="5:14" ht="12.75">
      <c r="E733" s="1"/>
      <c r="L733" s="2"/>
      <c r="N733" s="2"/>
    </row>
    <row r="734" spans="5:14" ht="12.75">
      <c r="E734" s="1"/>
      <c r="L734" s="2"/>
      <c r="N734" s="2"/>
    </row>
    <row r="735" spans="5:14" ht="12.75">
      <c r="E735" s="1"/>
      <c r="L735" s="2"/>
      <c r="N735" s="2"/>
    </row>
    <row r="736" spans="5:14" ht="12.75">
      <c r="E736" s="1"/>
      <c r="L736" s="2"/>
      <c r="N736" s="2"/>
    </row>
    <row r="737" spans="5:14" ht="12.75">
      <c r="E737" s="1"/>
      <c r="L737" s="2"/>
      <c r="N737" s="2"/>
    </row>
    <row r="738" spans="5:14" ht="12.75">
      <c r="E738" s="1"/>
      <c r="L738" s="2"/>
      <c r="N738" s="2"/>
    </row>
    <row r="739" spans="5:14" ht="12.75">
      <c r="E739" s="1"/>
      <c r="L739" s="2"/>
      <c r="N739" s="2"/>
    </row>
    <row r="740" spans="5:14" ht="12.75">
      <c r="E740" s="1"/>
      <c r="L740" s="2"/>
      <c r="N740" s="2"/>
    </row>
    <row r="741" spans="5:14" ht="12.75">
      <c r="E741" s="1"/>
      <c r="L741" s="2"/>
      <c r="N741" s="2"/>
    </row>
    <row r="742" spans="5:14" ht="12.75">
      <c r="E742" s="1"/>
      <c r="L742" s="2"/>
      <c r="N742" s="2"/>
    </row>
    <row r="743" spans="5:14" ht="12.75">
      <c r="E743" s="1"/>
      <c r="L743" s="2"/>
      <c r="N743" s="2"/>
    </row>
    <row r="744" spans="5:14" ht="12.75">
      <c r="E744" s="1"/>
      <c r="L744" s="2"/>
      <c r="N744" s="2"/>
    </row>
    <row r="745" spans="5:14" ht="12.75">
      <c r="E745" s="1"/>
      <c r="L745" s="2"/>
      <c r="N745" s="2"/>
    </row>
    <row r="746" spans="5:14" ht="12.75">
      <c r="E746" s="1"/>
      <c r="L746" s="2"/>
      <c r="N746" s="2"/>
    </row>
    <row r="747" spans="5:14" ht="12.75">
      <c r="E747" s="1"/>
      <c r="L747" s="2"/>
      <c r="N747" s="2"/>
    </row>
    <row r="748" spans="5:14" ht="12.75">
      <c r="E748" s="1"/>
      <c r="L748" s="2"/>
      <c r="N748" s="2"/>
    </row>
    <row r="749" spans="5:14" ht="12.75">
      <c r="E749" s="1"/>
      <c r="L749" s="2"/>
      <c r="N749" s="2"/>
    </row>
    <row r="750" spans="5:14" ht="12.75">
      <c r="E750" s="1"/>
      <c r="L750" s="2"/>
      <c r="N750" s="2"/>
    </row>
    <row r="751" spans="5:14" ht="12.75">
      <c r="E751" s="1"/>
      <c r="L751" s="2"/>
      <c r="N751" s="2"/>
    </row>
    <row r="752" spans="5:14" ht="12.75">
      <c r="E752" s="1"/>
      <c r="L752" s="2"/>
      <c r="N752" s="2"/>
    </row>
    <row r="753" spans="5:14" ht="12.75">
      <c r="E753" s="1"/>
      <c r="L753" s="2"/>
      <c r="N753" s="2"/>
    </row>
    <row r="754" spans="5:14" ht="12.75">
      <c r="E754" s="1"/>
      <c r="L754" s="2"/>
      <c r="N754" s="2"/>
    </row>
    <row r="755" spans="5:14" ht="12.75">
      <c r="E755" s="1"/>
      <c r="L755" s="2"/>
      <c r="N755" s="2"/>
    </row>
    <row r="756" spans="5:14" ht="12.75">
      <c r="E756" s="1"/>
      <c r="L756" s="2"/>
      <c r="N756" s="2"/>
    </row>
    <row r="757" spans="5:14" ht="12.75">
      <c r="E757" s="1"/>
      <c r="L757" s="2"/>
      <c r="N757" s="2"/>
    </row>
    <row r="758" spans="5:14" ht="12.75">
      <c r="E758" s="1"/>
      <c r="L758" s="2"/>
      <c r="N758" s="2"/>
    </row>
    <row r="759" spans="5:14" ht="12.75">
      <c r="E759" s="1"/>
      <c r="L759" s="2"/>
      <c r="N759" s="2"/>
    </row>
    <row r="760" spans="5:14" ht="12.75">
      <c r="E760" s="1"/>
      <c r="L760" s="2"/>
      <c r="N760" s="2"/>
    </row>
    <row r="761" spans="5:14" ht="12.75">
      <c r="E761" s="1"/>
      <c r="L761" s="2"/>
      <c r="N761" s="2"/>
    </row>
    <row r="762" spans="5:14" ht="12.75">
      <c r="E762" s="1"/>
      <c r="L762" s="2"/>
      <c r="N762" s="2"/>
    </row>
    <row r="763" spans="5:14" ht="12.75">
      <c r="E763" s="1"/>
      <c r="L763" s="2"/>
      <c r="N763" s="2"/>
    </row>
    <row r="764" spans="5:14" ht="12.75">
      <c r="E764" s="1"/>
      <c r="L764" s="2"/>
      <c r="N764" s="2"/>
    </row>
    <row r="765" spans="5:14" ht="12.75">
      <c r="E765" s="1"/>
      <c r="L765" s="2"/>
      <c r="N765" s="2"/>
    </row>
    <row r="766" spans="5:14" ht="12.75">
      <c r="E766" s="1"/>
      <c r="L766" s="2"/>
      <c r="N766" s="2"/>
    </row>
    <row r="767" spans="5:14" ht="12.75">
      <c r="E767" s="1"/>
      <c r="L767" s="2"/>
      <c r="N767" s="2"/>
    </row>
    <row r="768" spans="5:14" ht="12.75">
      <c r="E768" s="1"/>
      <c r="L768" s="2"/>
      <c r="N768" s="2"/>
    </row>
    <row r="769" spans="5:14" ht="12.75">
      <c r="E769" s="1"/>
      <c r="L769" s="2"/>
      <c r="N769" s="2"/>
    </row>
    <row r="770" spans="5:14" ht="12.75">
      <c r="E770" s="1"/>
      <c r="L770" s="2"/>
      <c r="N770" s="2"/>
    </row>
    <row r="771" spans="5:14" ht="12.75">
      <c r="E771" s="1"/>
      <c r="L771" s="2"/>
      <c r="N771" s="2"/>
    </row>
    <row r="772" spans="5:14" ht="12.75">
      <c r="E772" s="1"/>
      <c r="L772" s="2"/>
      <c r="N772" s="2"/>
    </row>
    <row r="773" spans="5:14" ht="12.75">
      <c r="E773" s="1"/>
      <c r="L773" s="2"/>
      <c r="N773" s="2"/>
    </row>
    <row r="774" spans="5:14" ht="12.75">
      <c r="E774" s="1"/>
      <c r="L774" s="2"/>
      <c r="N774" s="2"/>
    </row>
    <row r="775" spans="5:14" ht="12.75">
      <c r="E775" s="1"/>
      <c r="L775" s="2"/>
      <c r="N775" s="2"/>
    </row>
    <row r="776" spans="5:14" ht="12.75">
      <c r="E776" s="1"/>
      <c r="L776" s="2"/>
      <c r="N776" s="2"/>
    </row>
    <row r="777" spans="5:14" ht="12.75">
      <c r="E777" s="1"/>
      <c r="L777" s="2"/>
      <c r="N777" s="2"/>
    </row>
    <row r="778" spans="5:14" ht="12.75">
      <c r="E778" s="1"/>
      <c r="L778" s="2"/>
      <c r="N778" s="2"/>
    </row>
    <row r="779" spans="5:14" ht="12.75">
      <c r="E779" s="1"/>
      <c r="L779" s="2"/>
      <c r="N779" s="2"/>
    </row>
    <row r="780" spans="5:14" ht="12.75">
      <c r="E780" s="1"/>
      <c r="L780" s="2"/>
      <c r="N780" s="2"/>
    </row>
    <row r="781" spans="5:14" ht="12.75">
      <c r="E781" s="1"/>
      <c r="L781" s="2"/>
      <c r="N781" s="2"/>
    </row>
    <row r="782" spans="5:14" ht="12.75">
      <c r="E782" s="1"/>
      <c r="L782" s="2"/>
      <c r="N782" s="2"/>
    </row>
    <row r="783" spans="5:14" ht="12.75">
      <c r="E783" s="1"/>
      <c r="L783" s="2"/>
      <c r="N783" s="2"/>
    </row>
    <row r="784" spans="5:14" ht="12.75">
      <c r="E784" s="1"/>
      <c r="L784" s="2"/>
      <c r="N784" s="2"/>
    </row>
    <row r="785" spans="5:14" ht="12.75">
      <c r="E785" s="1"/>
      <c r="L785" s="2"/>
      <c r="N785" s="2"/>
    </row>
    <row r="786" spans="5:14" ht="12.75">
      <c r="E786" s="1"/>
      <c r="L786" s="2"/>
      <c r="N786" s="2"/>
    </row>
    <row r="787" spans="5:14" ht="12.75">
      <c r="E787" s="1"/>
      <c r="L787" s="2"/>
      <c r="N787" s="2"/>
    </row>
    <row r="788" spans="5:14" ht="12.75">
      <c r="E788" s="1"/>
      <c r="L788" s="2"/>
      <c r="N788" s="2"/>
    </row>
    <row r="789" spans="5:14" ht="12.75">
      <c r="E789" s="1"/>
      <c r="L789" s="2"/>
      <c r="N789" s="2"/>
    </row>
    <row r="790" spans="5:14" ht="12.75">
      <c r="E790" s="1"/>
      <c r="L790" s="2"/>
      <c r="N790" s="2"/>
    </row>
    <row r="791" spans="5:14" ht="12.75">
      <c r="E791" s="1"/>
      <c r="L791" s="2"/>
      <c r="N791" s="2"/>
    </row>
    <row r="792" spans="5:14" ht="12.75">
      <c r="E792" s="1"/>
      <c r="L792" s="2"/>
      <c r="N792" s="2"/>
    </row>
    <row r="793" spans="5:14" ht="12.75">
      <c r="E793" s="1"/>
      <c r="L793" s="2"/>
      <c r="N793" s="2"/>
    </row>
    <row r="794" spans="5:14" ht="12.75">
      <c r="E794" s="1"/>
      <c r="L794" s="2"/>
      <c r="N794" s="2"/>
    </row>
    <row r="795" spans="5:14" ht="12.75">
      <c r="E795" s="1"/>
      <c r="L795" s="2"/>
      <c r="N795" s="2"/>
    </row>
    <row r="796" spans="5:14" ht="12.75">
      <c r="E796" s="1"/>
      <c r="L796" s="2"/>
      <c r="N796" s="2"/>
    </row>
    <row r="797" spans="5:14" ht="12.75">
      <c r="E797" s="1"/>
      <c r="L797" s="2"/>
      <c r="N797" s="2"/>
    </row>
    <row r="798" spans="5:14" ht="12.75">
      <c r="E798" s="1"/>
      <c r="L798" s="2"/>
      <c r="N798" s="2"/>
    </row>
    <row r="799" spans="5:14" ht="12.75">
      <c r="E799" s="1"/>
      <c r="L799" s="2"/>
      <c r="N799" s="2"/>
    </row>
    <row r="800" spans="5:14" ht="12.75">
      <c r="E800" s="1"/>
      <c r="L800" s="2"/>
      <c r="N800" s="2"/>
    </row>
    <row r="801" spans="5:14" ht="12.75">
      <c r="E801" s="1"/>
      <c r="L801" s="2"/>
      <c r="N801" s="2"/>
    </row>
    <row r="802" spans="5:14" ht="12.75">
      <c r="E802" s="1"/>
      <c r="L802" s="2"/>
      <c r="N802" s="2"/>
    </row>
    <row r="803" spans="5:14" ht="12.75">
      <c r="E803" s="1"/>
      <c r="L803" s="2"/>
      <c r="N803" s="2"/>
    </row>
    <row r="804" spans="5:14" ht="12.75">
      <c r="E804" s="1"/>
      <c r="L804" s="2"/>
      <c r="N804" s="2"/>
    </row>
    <row r="805" spans="5:14" ht="12.75">
      <c r="E805" s="1"/>
      <c r="L805" s="2"/>
      <c r="N805" s="2"/>
    </row>
    <row r="806" spans="5:14" ht="12.75">
      <c r="E806" s="1"/>
      <c r="L806" s="2"/>
      <c r="N806" s="2"/>
    </row>
    <row r="807" spans="5:14" ht="12.75">
      <c r="E807" s="1"/>
      <c r="L807" s="2"/>
      <c r="N807" s="2"/>
    </row>
    <row r="808" spans="5:14" ht="12.75">
      <c r="E808" s="1"/>
      <c r="L808" s="2"/>
      <c r="N808" s="2"/>
    </row>
    <row r="809" spans="5:14" ht="12.75">
      <c r="E809" s="1"/>
      <c r="L809" s="2"/>
      <c r="N809" s="2"/>
    </row>
    <row r="810" spans="5:14" ht="12.75">
      <c r="E810" s="1"/>
      <c r="L810" s="2"/>
      <c r="N810" s="2"/>
    </row>
    <row r="811" spans="5:14" ht="12.75">
      <c r="E811" s="1"/>
      <c r="L811" s="2"/>
      <c r="N811" s="2"/>
    </row>
    <row r="812" spans="5:14" ht="12.75">
      <c r="E812" s="1"/>
      <c r="L812" s="2"/>
      <c r="N812" s="2"/>
    </row>
    <row r="813" spans="5:14" ht="12.75">
      <c r="E813" s="1"/>
      <c r="L813" s="2"/>
      <c r="N813" s="2"/>
    </row>
    <row r="814" spans="5:14" ht="12.75">
      <c r="E814" s="1"/>
      <c r="L814" s="2"/>
      <c r="N814" s="2"/>
    </row>
    <row r="815" spans="5:14" ht="12.75">
      <c r="E815" s="1"/>
      <c r="L815" s="2"/>
      <c r="N815" s="2"/>
    </row>
    <row r="816" spans="5:14" ht="12.75">
      <c r="E816" s="1"/>
      <c r="L816" s="2"/>
      <c r="N816" s="2"/>
    </row>
    <row r="817" spans="5:14" ht="12.75">
      <c r="E817" s="1"/>
      <c r="L817" s="2"/>
      <c r="N817" s="2"/>
    </row>
    <row r="818" spans="5:14" ht="12.75">
      <c r="E818" s="1"/>
      <c r="L818" s="2"/>
      <c r="N818" s="2"/>
    </row>
    <row r="819" spans="5:14" ht="12.75">
      <c r="E819" s="1"/>
      <c r="L819" s="2"/>
      <c r="N819" s="2"/>
    </row>
    <row r="820" spans="5:14" ht="12.75">
      <c r="E820" s="1"/>
      <c r="L820" s="2"/>
      <c r="N820" s="2"/>
    </row>
    <row r="821" spans="5:14" ht="12.75">
      <c r="E821" s="1"/>
      <c r="L821" s="2"/>
      <c r="N821" s="2"/>
    </row>
    <row r="822" spans="5:14" ht="12.75">
      <c r="E822" s="1"/>
      <c r="L822" s="2"/>
      <c r="N822" s="2"/>
    </row>
    <row r="823" spans="5:14" ht="12.75">
      <c r="E823" s="1"/>
      <c r="L823" s="2"/>
      <c r="N823" s="2"/>
    </row>
    <row r="824" spans="5:14" ht="12.75">
      <c r="E824" s="1"/>
      <c r="L824" s="2"/>
      <c r="N824" s="2"/>
    </row>
    <row r="825" spans="5:14" ht="12.75">
      <c r="E825" s="1"/>
      <c r="L825" s="2"/>
      <c r="N825" s="2"/>
    </row>
    <row r="826" spans="5:14" ht="12.75">
      <c r="E826" s="1"/>
      <c r="L826" s="2"/>
      <c r="N826" s="2"/>
    </row>
    <row r="827" spans="5:14" ht="12.75">
      <c r="E827" s="1"/>
      <c r="L827" s="2"/>
      <c r="N827" s="2"/>
    </row>
    <row r="828" spans="5:14" ht="12.75">
      <c r="E828" s="1"/>
      <c r="L828" s="2"/>
      <c r="N828" s="2"/>
    </row>
    <row r="829" spans="5:14" ht="12.75">
      <c r="E829" s="1"/>
      <c r="L829" s="2"/>
      <c r="N829" s="2"/>
    </row>
    <row r="830" spans="5:14" ht="12.75">
      <c r="E830" s="1"/>
      <c r="L830" s="2"/>
      <c r="N830" s="2"/>
    </row>
    <row r="831" spans="5:14" ht="12.75">
      <c r="E831" s="1"/>
      <c r="L831" s="2"/>
      <c r="N831" s="2"/>
    </row>
    <row r="832" spans="5:14" ht="12.75">
      <c r="E832" s="1"/>
      <c r="L832" s="2"/>
      <c r="N832" s="2"/>
    </row>
    <row r="833" spans="5:14" ht="12.75">
      <c r="E833" s="1"/>
      <c r="L833" s="2"/>
      <c r="N833" s="2"/>
    </row>
    <row r="834" spans="5:14" ht="12.75">
      <c r="E834" s="1"/>
      <c r="L834" s="2"/>
      <c r="N834" s="2"/>
    </row>
    <row r="835" spans="5:14" ht="12.75">
      <c r="E835" s="1"/>
      <c r="L835" s="2"/>
      <c r="N835" s="2"/>
    </row>
    <row r="836" spans="5:14" ht="12.75">
      <c r="E836" s="1"/>
      <c r="L836" s="2"/>
      <c r="N836" s="2"/>
    </row>
    <row r="837" spans="5:14" ht="12.75">
      <c r="E837" s="1"/>
      <c r="L837" s="2"/>
      <c r="N837" s="2"/>
    </row>
    <row r="838" spans="5:14" ht="12.75">
      <c r="E838" s="1"/>
      <c r="L838" s="2"/>
      <c r="N838" s="2"/>
    </row>
    <row r="839" spans="5:14" ht="12.75">
      <c r="E839" s="1"/>
      <c r="L839" s="2"/>
      <c r="N839" s="2"/>
    </row>
    <row r="840" spans="5:14" ht="12.75">
      <c r="E840" s="1"/>
      <c r="L840" s="2"/>
      <c r="N840" s="2"/>
    </row>
    <row r="841" spans="5:14" ht="12.75">
      <c r="E841" s="1"/>
      <c r="L841" s="2"/>
      <c r="N841" s="2"/>
    </row>
    <row r="842" spans="5:14" ht="12.75">
      <c r="E842" s="1"/>
      <c r="L842" s="2"/>
      <c r="N842" s="2"/>
    </row>
    <row r="843" spans="5:14" ht="12.75">
      <c r="E843" s="1"/>
      <c r="L843" s="2"/>
      <c r="N843" s="2"/>
    </row>
    <row r="844" spans="5:14" ht="12.75">
      <c r="E844" s="1"/>
      <c r="L844" s="2"/>
      <c r="N844" s="2"/>
    </row>
    <row r="845" spans="5:14" ht="12.75">
      <c r="E845" s="1"/>
      <c r="L845" s="2"/>
      <c r="N845" s="2"/>
    </row>
    <row r="846" spans="5:14" ht="12.75">
      <c r="E846" s="1"/>
      <c r="L846" s="2"/>
      <c r="N846" s="2"/>
    </row>
    <row r="847" spans="5:14" ht="12.75">
      <c r="E847" s="1"/>
      <c r="L847" s="2"/>
      <c r="N847" s="2"/>
    </row>
    <row r="848" spans="5:14" ht="12.75">
      <c r="E848" s="1"/>
      <c r="L848" s="2"/>
      <c r="N848" s="2"/>
    </row>
    <row r="849" spans="5:14" ht="12.75">
      <c r="E849" s="1"/>
      <c r="L849" s="2"/>
      <c r="N849" s="2"/>
    </row>
    <row r="850" spans="5:14" ht="12.75">
      <c r="E850" s="1"/>
      <c r="L850" s="2"/>
      <c r="N850" s="2"/>
    </row>
    <row r="851" spans="5:14" ht="12.75">
      <c r="E851" s="1"/>
      <c r="L851" s="2"/>
      <c r="N851" s="2"/>
    </row>
    <row r="852" spans="5:14" ht="12.75">
      <c r="E852" s="1"/>
      <c r="L852" s="2"/>
      <c r="N852" s="2"/>
    </row>
    <row r="853" spans="5:14" ht="12.75">
      <c r="E853" s="1"/>
      <c r="L853" s="2"/>
      <c r="N853" s="2"/>
    </row>
    <row r="854" spans="5:14" ht="12.75">
      <c r="E854" s="1"/>
      <c r="L854" s="2"/>
      <c r="N854" s="2"/>
    </row>
    <row r="855" spans="5:14" ht="12.75">
      <c r="E855" s="1"/>
      <c r="L855" s="2"/>
      <c r="N855" s="2"/>
    </row>
    <row r="856" spans="5:14" ht="12.75">
      <c r="E856" s="1"/>
      <c r="L856" s="2"/>
      <c r="N856" s="2"/>
    </row>
    <row r="857" spans="5:14" ht="12.75">
      <c r="E857" s="1"/>
      <c r="L857" s="2"/>
      <c r="N857" s="2"/>
    </row>
    <row r="858" spans="5:14" ht="12.75">
      <c r="E858" s="1"/>
      <c r="L858" s="2"/>
      <c r="N858" s="2"/>
    </row>
    <row r="859" spans="5:14" ht="12.75">
      <c r="E859" s="1"/>
      <c r="L859" s="2"/>
      <c r="N859" s="2"/>
    </row>
    <row r="860" spans="5:14" ht="12.75">
      <c r="E860" s="1"/>
      <c r="L860" s="2"/>
      <c r="N860" s="2"/>
    </row>
    <row r="861" spans="5:14" ht="12.75">
      <c r="E861" s="1"/>
      <c r="L861" s="2"/>
      <c r="N861" s="2"/>
    </row>
    <row r="862" spans="5:14" ht="12.75">
      <c r="E862" s="1"/>
      <c r="L862" s="2"/>
      <c r="N862" s="2"/>
    </row>
    <row r="863" spans="5:14" ht="12.75">
      <c r="E863" s="1"/>
      <c r="L863" s="2"/>
      <c r="N863" s="2"/>
    </row>
    <row r="864" spans="5:14" ht="12.75">
      <c r="E864" s="1"/>
      <c r="L864" s="2"/>
      <c r="N864" s="2"/>
    </row>
    <row r="865" spans="5:14" ht="12.75">
      <c r="E865" s="1"/>
      <c r="L865" s="2"/>
      <c r="N865" s="2"/>
    </row>
    <row r="866" spans="5:14" ht="12.75">
      <c r="E866" s="1"/>
      <c r="L866" s="2"/>
      <c r="N866" s="2"/>
    </row>
    <row r="867" spans="5:14" ht="12.75">
      <c r="E867" s="1"/>
      <c r="L867" s="2"/>
      <c r="N867" s="2"/>
    </row>
    <row r="868" spans="5:14" ht="12.75">
      <c r="E868" s="1"/>
      <c r="L868" s="2"/>
      <c r="N868" s="2"/>
    </row>
    <row r="869" spans="5:14" ht="12.75">
      <c r="E869" s="1"/>
      <c r="L869" s="2"/>
      <c r="N869" s="2"/>
    </row>
    <row r="870" spans="5:14" ht="12.75">
      <c r="E870" s="1"/>
      <c r="L870" s="2"/>
      <c r="N870" s="2"/>
    </row>
    <row r="871" spans="5:14" ht="12.75">
      <c r="E871" s="1"/>
      <c r="L871" s="2"/>
      <c r="N871" s="2"/>
    </row>
    <row r="872" spans="5:14" ht="12.75">
      <c r="E872" s="1"/>
      <c r="L872" s="2"/>
      <c r="N872" s="2"/>
    </row>
    <row r="873" spans="5:14" ht="12.75">
      <c r="E873" s="1"/>
      <c r="L873" s="2"/>
      <c r="N873" s="2"/>
    </row>
    <row r="874" spans="5:14" ht="12.75">
      <c r="E874" s="1"/>
      <c r="L874" s="2"/>
      <c r="N874" s="2"/>
    </row>
    <row r="875" spans="5:14" ht="12.75">
      <c r="E875" s="1"/>
      <c r="L875" s="2"/>
      <c r="N875" s="2"/>
    </row>
    <row r="876" spans="5:14" ht="12.75">
      <c r="E876" s="1"/>
      <c r="L876" s="2"/>
      <c r="N876" s="2"/>
    </row>
    <row r="877" spans="5:14" ht="12.75">
      <c r="E877" s="1"/>
      <c r="L877" s="2"/>
      <c r="N877" s="2"/>
    </row>
    <row r="878" spans="5:14" ht="12.75">
      <c r="E878" s="1"/>
      <c r="L878" s="2"/>
      <c r="N878" s="2"/>
    </row>
    <row r="879" spans="5:14" ht="12.75">
      <c r="E879" s="1"/>
      <c r="L879" s="2"/>
      <c r="N879" s="2"/>
    </row>
    <row r="880" spans="5:14" ht="12.75">
      <c r="E880" s="1"/>
      <c r="L880" s="2"/>
      <c r="N880" s="2"/>
    </row>
    <row r="881" spans="5:14" ht="12.75">
      <c r="E881" s="1"/>
      <c r="L881" s="2"/>
      <c r="N881" s="2"/>
    </row>
    <row r="882" spans="5:14" ht="12.75">
      <c r="E882" s="1"/>
      <c r="L882" s="2"/>
      <c r="N882" s="2"/>
    </row>
    <row r="883" spans="5:14" ht="12.75">
      <c r="E883" s="1"/>
      <c r="L883" s="2"/>
      <c r="N883" s="2"/>
    </row>
    <row r="884" spans="5:14" ht="12.75">
      <c r="E884" s="1"/>
      <c r="L884" s="2"/>
      <c r="N884" s="2"/>
    </row>
    <row r="885" spans="5:14" ht="12.75">
      <c r="E885" s="1"/>
      <c r="L885" s="2"/>
      <c r="N885" s="2"/>
    </row>
    <row r="886" spans="5:14" ht="12.75">
      <c r="E886" s="1"/>
      <c r="L886" s="2"/>
      <c r="N886" s="2"/>
    </row>
    <row r="887" spans="5:14" ht="12.75">
      <c r="E887" s="1"/>
      <c r="L887" s="2"/>
      <c r="N887" s="2"/>
    </row>
    <row r="888" spans="5:14" ht="12.75">
      <c r="E888" s="1"/>
      <c r="L888" s="2"/>
      <c r="N888" s="2"/>
    </row>
    <row r="889" spans="5:14" ht="12.75">
      <c r="E889" s="1"/>
      <c r="L889" s="2"/>
      <c r="N889" s="2"/>
    </row>
    <row r="890" spans="5:14" ht="12.75">
      <c r="E890" s="1"/>
      <c r="L890" s="2"/>
      <c r="N890" s="2"/>
    </row>
    <row r="891" spans="5:14" ht="12.75">
      <c r="E891" s="1"/>
      <c r="L891" s="2"/>
      <c r="N891" s="2"/>
    </row>
    <row r="892" spans="5:14" ht="12.75">
      <c r="E892" s="1"/>
      <c r="L892" s="2"/>
      <c r="N892" s="2"/>
    </row>
    <row r="893" spans="5:14" ht="12.75">
      <c r="E893" s="1"/>
      <c r="L893" s="2"/>
      <c r="N893" s="2"/>
    </row>
    <row r="894" spans="5:14" ht="12.75">
      <c r="E894" s="1"/>
      <c r="L894" s="2"/>
      <c r="N894" s="2"/>
    </row>
    <row r="895" spans="5:14" ht="12.75">
      <c r="E895" s="1"/>
      <c r="L895" s="2"/>
      <c r="N895" s="2"/>
    </row>
    <row r="896" spans="5:14" ht="12.75">
      <c r="E896" s="1"/>
      <c r="L896" s="2"/>
      <c r="N896" s="2"/>
    </row>
    <row r="897" spans="5:14" ht="12.75">
      <c r="E897" s="1"/>
      <c r="L897" s="2"/>
      <c r="N897" s="2"/>
    </row>
    <row r="898" spans="5:14" ht="12.75">
      <c r="E898" s="1"/>
      <c r="L898" s="2"/>
      <c r="N898" s="2"/>
    </row>
    <row r="899" spans="5:14" ht="12.75">
      <c r="E899" s="1"/>
      <c r="L899" s="2"/>
      <c r="N899" s="2"/>
    </row>
    <row r="900" spans="5:14" ht="12.75">
      <c r="E900" s="1"/>
      <c r="L900" s="2"/>
      <c r="N900" s="2"/>
    </row>
    <row r="901" spans="5:14" ht="12.75">
      <c r="E901" s="1"/>
      <c r="L901" s="2"/>
      <c r="N901" s="2"/>
    </row>
    <row r="902" spans="5:14" ht="12.75">
      <c r="E902" s="1"/>
      <c r="L902" s="2"/>
      <c r="N902" s="2"/>
    </row>
    <row r="903" spans="5:14" ht="12.75">
      <c r="E903" s="1"/>
      <c r="L903" s="2"/>
      <c r="N903" s="2"/>
    </row>
    <row r="904" spans="5:14" ht="12.75">
      <c r="E904" s="1"/>
      <c r="L904" s="2"/>
      <c r="N904" s="2"/>
    </row>
    <row r="905" spans="5:14" ht="12.75">
      <c r="E905" s="1"/>
      <c r="L905" s="2"/>
      <c r="N905" s="2"/>
    </row>
    <row r="906" spans="5:14" ht="12.75">
      <c r="E906" s="1"/>
      <c r="L906" s="2"/>
      <c r="N906" s="2"/>
    </row>
    <row r="907" spans="5:14" ht="12.75">
      <c r="E907" s="1"/>
      <c r="L907" s="2"/>
      <c r="N907" s="2"/>
    </row>
    <row r="908" spans="5:14" ht="12.75">
      <c r="E908" s="1"/>
      <c r="L908" s="2"/>
      <c r="N908" s="2"/>
    </row>
    <row r="909" spans="5:14" ht="12.75">
      <c r="E909" s="1"/>
      <c r="L909" s="2"/>
      <c r="N909" s="2"/>
    </row>
    <row r="910" spans="5:14" ht="12.75">
      <c r="E910" s="1"/>
      <c r="L910" s="2"/>
      <c r="N910" s="2"/>
    </row>
    <row r="911" spans="5:14" ht="12.75">
      <c r="E911" s="1"/>
      <c r="L911" s="2"/>
      <c r="N911" s="2"/>
    </row>
    <row r="912" spans="5:14" ht="12.75">
      <c r="E912" s="1"/>
      <c r="L912" s="2"/>
      <c r="N912" s="2"/>
    </row>
    <row r="913" spans="5:14" ht="12.75">
      <c r="E913" s="1"/>
      <c r="L913" s="2"/>
      <c r="N913" s="2"/>
    </row>
    <row r="914" spans="5:14" ht="12.75">
      <c r="E914" s="1"/>
      <c r="L914" s="2"/>
      <c r="N914" s="2"/>
    </row>
    <row r="915" spans="5:14" ht="12.75">
      <c r="E915" s="1"/>
      <c r="L915" s="2"/>
      <c r="N915" s="2"/>
    </row>
    <row r="916" spans="5:14" ht="12.75">
      <c r="E916" s="1"/>
      <c r="L916" s="2"/>
      <c r="N916" s="2"/>
    </row>
    <row r="917" spans="5:14" ht="12.75">
      <c r="E917" s="1"/>
      <c r="L917" s="2"/>
      <c r="N917" s="2"/>
    </row>
    <row r="918" spans="5:14" ht="12.75">
      <c r="E918" s="1"/>
      <c r="L918" s="2"/>
      <c r="N918" s="2"/>
    </row>
    <row r="919" spans="5:14" ht="12.75">
      <c r="E919" s="1"/>
      <c r="L919" s="2"/>
      <c r="N919" s="2"/>
    </row>
    <row r="920" spans="5:14" ht="12.75">
      <c r="E920" s="1"/>
      <c r="L920" s="2"/>
      <c r="N920" s="2"/>
    </row>
    <row r="921" spans="5:14" ht="12.75">
      <c r="E921" s="1"/>
      <c r="L921" s="2"/>
      <c r="N921" s="2"/>
    </row>
    <row r="922" spans="5:14" ht="12.75">
      <c r="E922" s="1"/>
      <c r="L922" s="2"/>
      <c r="N922" s="2"/>
    </row>
    <row r="923" spans="5:14" ht="12.75">
      <c r="E923" s="1"/>
      <c r="L923" s="2"/>
      <c r="N923" s="2"/>
    </row>
    <row r="924" spans="5:14" ht="12.75">
      <c r="E924" s="1"/>
      <c r="L924" s="2"/>
      <c r="N924" s="2"/>
    </row>
    <row r="925" spans="5:14" ht="12.75">
      <c r="E925" s="1"/>
      <c r="L925" s="2"/>
      <c r="N925" s="2"/>
    </row>
    <row r="926" spans="5:14" ht="12.75">
      <c r="E926" s="1"/>
      <c r="L926" s="2"/>
      <c r="N926" s="2"/>
    </row>
    <row r="927" spans="5:14" ht="12.75">
      <c r="E927" s="1"/>
      <c r="L927" s="2"/>
      <c r="N927" s="2"/>
    </row>
    <row r="928" spans="5:14" ht="12.75">
      <c r="E928" s="1"/>
      <c r="L928" s="2"/>
      <c r="N928" s="2"/>
    </row>
    <row r="929" spans="5:14" ht="12.75">
      <c r="E929" s="1"/>
      <c r="L929" s="2"/>
      <c r="N929" s="2"/>
    </row>
    <row r="930" spans="5:14" ht="12.75">
      <c r="E930" s="1"/>
      <c r="L930" s="2"/>
      <c r="N930" s="2"/>
    </row>
    <row r="931" spans="5:14" ht="12.75">
      <c r="E931" s="1"/>
      <c r="L931" s="2"/>
      <c r="N931" s="2"/>
    </row>
    <row r="932" spans="5:14" ht="12.75">
      <c r="E932" s="1"/>
      <c r="L932" s="2"/>
      <c r="N932" s="2"/>
    </row>
    <row r="933" spans="5:14" ht="12.75">
      <c r="E933" s="1"/>
      <c r="L933" s="2"/>
      <c r="N933" s="2"/>
    </row>
    <row r="934" spans="5:14" ht="12.75">
      <c r="E934" s="1"/>
      <c r="L934" s="2"/>
      <c r="N934" s="2"/>
    </row>
    <row r="935" spans="5:14" ht="12.75">
      <c r="E935" s="1"/>
      <c r="L935" s="2"/>
      <c r="N935" s="2"/>
    </row>
    <row r="936" spans="5:14" ht="12.75">
      <c r="E936" s="1"/>
      <c r="L936" s="2"/>
      <c r="N936" s="2"/>
    </row>
    <row r="937" spans="5:14" ht="12.75">
      <c r="E937" s="1"/>
      <c r="L937" s="2"/>
      <c r="N937" s="2"/>
    </row>
    <row r="938" spans="5:14" ht="12.75">
      <c r="E938" s="1"/>
      <c r="L938" s="2"/>
      <c r="N938" s="2"/>
    </row>
    <row r="939" spans="5:14" ht="12.75">
      <c r="E939" s="1"/>
      <c r="L939" s="2"/>
      <c r="N939" s="2"/>
    </row>
    <row r="940" spans="5:14" ht="12.75">
      <c r="E940" s="1"/>
      <c r="L940" s="2"/>
      <c r="N940" s="2"/>
    </row>
    <row r="941" spans="5:14" ht="12.75">
      <c r="E941" s="1"/>
      <c r="L941" s="2"/>
      <c r="N941" s="2"/>
    </row>
    <row r="942" spans="5:14" ht="12.75">
      <c r="E942" s="1"/>
      <c r="L942" s="2"/>
      <c r="N942" s="2"/>
    </row>
    <row r="943" spans="5:14" ht="12.75">
      <c r="E943" s="1"/>
      <c r="L943" s="2"/>
      <c r="N943" s="2"/>
    </row>
    <row r="944" spans="5:14" ht="12.75">
      <c r="E944" s="1"/>
      <c r="L944" s="2"/>
      <c r="N944" s="2"/>
    </row>
    <row r="945" spans="5:14" ht="12.75">
      <c r="E945" s="1"/>
      <c r="L945" s="2"/>
      <c r="N945" s="2"/>
    </row>
    <row r="946" spans="5:14" ht="12.75">
      <c r="E946" s="1"/>
      <c r="L946" s="2"/>
      <c r="N946" s="2"/>
    </row>
    <row r="947" spans="5:14" ht="12.75">
      <c r="E947" s="1"/>
      <c r="L947" s="2"/>
      <c r="N947" s="2"/>
    </row>
    <row r="948" spans="5:14" ht="12.75">
      <c r="E948" s="1"/>
      <c r="L948" s="2"/>
      <c r="N948" s="2"/>
    </row>
    <row r="949" spans="5:14" ht="12.75">
      <c r="E949" s="1"/>
      <c r="L949" s="2"/>
      <c r="N949" s="2"/>
    </row>
    <row r="950" spans="5:14" ht="12.75">
      <c r="E950" s="1"/>
      <c r="L950" s="2"/>
      <c r="N950" s="2"/>
    </row>
    <row r="951" spans="5:14" ht="12.75">
      <c r="E951" s="1"/>
      <c r="L951" s="2"/>
      <c r="N951" s="2"/>
    </row>
    <row r="952" spans="5:14" ht="12.75">
      <c r="E952" s="1"/>
      <c r="L952" s="2"/>
      <c r="N952" s="2"/>
    </row>
    <row r="953" spans="5:14" ht="12.75">
      <c r="E953" s="1"/>
      <c r="L953" s="2"/>
      <c r="N953" s="2"/>
    </row>
    <row r="954" spans="5:14" ht="12.75">
      <c r="E954" s="1"/>
      <c r="L954" s="2"/>
      <c r="N954" s="2"/>
    </row>
    <row r="955" spans="5:14" ht="12.75">
      <c r="E955" s="1"/>
      <c r="L955" s="2"/>
      <c r="N955" s="2"/>
    </row>
    <row r="956" spans="5:14" ht="12.75">
      <c r="E956" s="1"/>
      <c r="L956" s="2"/>
      <c r="N956" s="2"/>
    </row>
    <row r="957" spans="5:14" ht="12.75">
      <c r="E957" s="1"/>
      <c r="L957" s="2"/>
      <c r="N957" s="2"/>
    </row>
    <row r="958" spans="5:14" ht="12.75">
      <c r="E958" s="1"/>
      <c r="L958" s="2"/>
      <c r="N958" s="2"/>
    </row>
    <row r="959" spans="5:14" ht="12.75">
      <c r="E959" s="1"/>
      <c r="L959" s="2"/>
      <c r="N959" s="2"/>
    </row>
    <row r="960" spans="5:14" ht="12.75">
      <c r="E960" s="1"/>
      <c r="L960" s="2"/>
      <c r="N960" s="2"/>
    </row>
    <row r="961" spans="5:14" ht="12.75">
      <c r="E961" s="1"/>
      <c r="L961" s="2"/>
      <c r="N961" s="2"/>
    </row>
    <row r="962" spans="5:14" ht="12.75">
      <c r="E962" s="1"/>
      <c r="L962" s="2"/>
      <c r="N962" s="2"/>
    </row>
    <row r="963" spans="5:14" ht="12.75">
      <c r="E963" s="1"/>
      <c r="L963" s="2"/>
      <c r="N963" s="2"/>
    </row>
    <row r="964" spans="5:14" ht="12.75">
      <c r="E964" s="1"/>
      <c r="L964" s="2"/>
      <c r="N964" s="2"/>
    </row>
    <row r="965" spans="5:14" ht="12.75">
      <c r="E965" s="1"/>
      <c r="L965" s="2"/>
      <c r="N965" s="2"/>
    </row>
    <row r="966" spans="5:14" ht="12.75">
      <c r="E966" s="1"/>
      <c r="L966" s="2"/>
      <c r="N966" s="2"/>
    </row>
    <row r="967" spans="5:14" ht="12.75">
      <c r="E967" s="1"/>
      <c r="L967" s="2"/>
      <c r="N967" s="2"/>
    </row>
    <row r="968" spans="5:14" ht="12.75">
      <c r="E968" s="1"/>
      <c r="L968" s="2"/>
      <c r="N968" s="2"/>
    </row>
    <row r="969" spans="5:14" ht="12.75">
      <c r="E969" s="1"/>
      <c r="L969" s="2"/>
      <c r="N969" s="2"/>
    </row>
    <row r="970" spans="5:14" ht="12.75">
      <c r="E970" s="1"/>
      <c r="L970" s="2"/>
      <c r="N970" s="2"/>
    </row>
    <row r="971" spans="5:14" ht="12.75">
      <c r="E971" s="1"/>
      <c r="L971" s="2"/>
      <c r="N971" s="2"/>
    </row>
    <row r="972" spans="5:14" ht="12.75">
      <c r="E972" s="1"/>
      <c r="L972" s="2"/>
      <c r="N972" s="2"/>
    </row>
    <row r="973" spans="5:14" ht="12.75">
      <c r="E973" s="1"/>
      <c r="L973" s="2"/>
      <c r="N973" s="2"/>
    </row>
    <row r="974" spans="5:14" ht="12.75">
      <c r="E974" s="1"/>
      <c r="L974" s="2"/>
      <c r="N974" s="2"/>
    </row>
    <row r="975" spans="5:14" ht="12.75">
      <c r="E975" s="1"/>
      <c r="L975" s="2"/>
      <c r="N975" s="2"/>
    </row>
    <row r="976" spans="5:14" ht="12.75">
      <c r="E976" s="1"/>
      <c r="L976" s="2"/>
      <c r="N976" s="2"/>
    </row>
    <row r="977" spans="5:14" ht="12.75">
      <c r="E977" s="1"/>
      <c r="L977" s="2"/>
      <c r="N977" s="2"/>
    </row>
    <row r="978" spans="5:14" ht="12.75">
      <c r="E978" s="1"/>
      <c r="L978" s="2"/>
      <c r="N978" s="2"/>
    </row>
    <row r="979" spans="5:14" ht="12.75">
      <c r="E979" s="1"/>
      <c r="L979" s="2"/>
      <c r="N979" s="2"/>
    </row>
    <row r="980" spans="5:14" ht="12.75">
      <c r="E980" s="1"/>
      <c r="L980" s="2"/>
      <c r="N980" s="2"/>
    </row>
    <row r="981" spans="5:14" ht="12.75">
      <c r="E981" s="1"/>
      <c r="L981" s="2"/>
      <c r="N981" s="2"/>
    </row>
    <row r="982" spans="5:14" ht="12.75">
      <c r="E982" s="1"/>
      <c r="L982" s="2"/>
      <c r="N982" s="2"/>
    </row>
    <row r="983" spans="5:14" ht="12.75">
      <c r="E983" s="1"/>
      <c r="L983" s="2"/>
      <c r="N983" s="2"/>
    </row>
    <row r="984" spans="5:14" ht="12.75">
      <c r="E984" s="1"/>
      <c r="L984" s="2"/>
      <c r="N984" s="2"/>
    </row>
    <row r="985" spans="5:14" ht="12.75">
      <c r="E985" s="1"/>
      <c r="L985" s="2"/>
      <c r="N985" s="2"/>
    </row>
    <row r="986" spans="5:14" ht="12.75">
      <c r="E986" s="1"/>
      <c r="L986" s="2"/>
      <c r="N986" s="2"/>
    </row>
    <row r="987" spans="5:14" ht="12.75">
      <c r="E987" s="1"/>
      <c r="L987" s="2"/>
      <c r="N987" s="2"/>
    </row>
    <row r="988" spans="5:14" ht="12.75">
      <c r="E988" s="1"/>
      <c r="L988" s="2"/>
      <c r="N988" s="2"/>
    </row>
    <row r="989" spans="5:14" ht="12.75">
      <c r="E989" s="1"/>
      <c r="L989" s="2"/>
      <c r="N989" s="2"/>
    </row>
    <row r="990" spans="5:14" ht="12.75">
      <c r="E990" s="1"/>
      <c r="L990" s="2"/>
      <c r="N990" s="2"/>
    </row>
    <row r="991" spans="5:14" ht="12.75">
      <c r="E991" s="1"/>
      <c r="L991" s="2"/>
      <c r="N991" s="2"/>
    </row>
    <row r="992" spans="5:14" ht="12.75">
      <c r="E992" s="1"/>
      <c r="L992" s="2"/>
      <c r="N992" s="2"/>
    </row>
    <row r="993" spans="5:14" ht="12.75">
      <c r="E993" s="1"/>
      <c r="L993" s="2"/>
      <c r="N993" s="2"/>
    </row>
    <row r="994" spans="5:14" ht="12.75">
      <c r="E994" s="1"/>
      <c r="L994" s="2"/>
      <c r="N994" s="2"/>
    </row>
    <row r="995" spans="5:14" ht="12.75">
      <c r="E995" s="1"/>
      <c r="L995" s="2"/>
      <c r="N995" s="2"/>
    </row>
    <row r="996" spans="5:14" ht="12.75">
      <c r="E996" s="1"/>
      <c r="L996" s="2"/>
      <c r="N996" s="2"/>
    </row>
    <row r="997" spans="5:14" ht="12.75">
      <c r="E997" s="1"/>
      <c r="L997" s="2"/>
      <c r="N997" s="2"/>
    </row>
    <row r="998" spans="5:14" ht="12.75">
      <c r="E998" s="1"/>
      <c r="L998" s="2"/>
      <c r="N998" s="2"/>
    </row>
    <row r="999" spans="5:14" ht="12.75">
      <c r="E999" s="1"/>
      <c r="L999" s="2"/>
      <c r="N999" s="2"/>
    </row>
    <row r="1000" spans="5:14" ht="12.75">
      <c r="E1000" s="1"/>
      <c r="L1000" s="2"/>
      <c r="N1000" s="2"/>
    </row>
    <row r="1001" spans="5:14" ht="12.75">
      <c r="E1001" s="1"/>
      <c r="L1001" s="2"/>
      <c r="N1001" s="2"/>
    </row>
    <row r="1002" spans="5:14" ht="12.75">
      <c r="E1002" s="1"/>
      <c r="L1002" s="2"/>
      <c r="N1002" s="2"/>
    </row>
    <row r="1003" spans="5:14" ht="12.75">
      <c r="E1003" s="1"/>
      <c r="L1003" s="2"/>
      <c r="N1003" s="2"/>
    </row>
    <row r="1004" spans="5:14" ht="12.75">
      <c r="E1004" s="1"/>
      <c r="L1004" s="2"/>
      <c r="N1004" s="2"/>
    </row>
    <row r="1005" spans="5:14" ht="12.75">
      <c r="E1005" s="1"/>
      <c r="L1005" s="2"/>
      <c r="N1005" s="2"/>
    </row>
    <row r="1006" spans="5:14" ht="12.75">
      <c r="E1006" s="1"/>
      <c r="L1006" s="2"/>
      <c r="N1006" s="2"/>
    </row>
    <row r="1007" spans="5:14" ht="12.75">
      <c r="E1007" s="1"/>
      <c r="L1007" s="2"/>
      <c r="N1007" s="2"/>
    </row>
    <row r="1008" spans="5:14" ht="12.75">
      <c r="E1008" s="1"/>
      <c r="L1008" s="2"/>
      <c r="N1008" s="2"/>
    </row>
    <row r="1009" spans="5:14" ht="12.75">
      <c r="E1009" s="1"/>
      <c r="L1009" s="2"/>
      <c r="N1009" s="2"/>
    </row>
    <row r="1010" spans="5:14" ht="12.75">
      <c r="E1010" s="1"/>
      <c r="L1010" s="2"/>
      <c r="N1010" s="2"/>
    </row>
    <row r="1011" spans="5:14" ht="12.75">
      <c r="E1011" s="1"/>
      <c r="L1011" s="2"/>
      <c r="N1011" s="2"/>
    </row>
    <row r="1012" spans="5:14" ht="12.75">
      <c r="E1012" s="1"/>
      <c r="L1012" s="2"/>
      <c r="N1012" s="2"/>
    </row>
  </sheetData>
  <pageMargins left="0.7" right="0.7" top="0.75" bottom="0.75" header="0" footer="0"/>
  <pageSetup paperSize="3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1N Pattaya 3 Bangkok - </vt:lpstr>
      <vt:lpstr>2N Phuket 3N Bangkok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BUDDIKA</cp:lastModifiedBy>
  <dcterms:modified xsi:type="dcterms:W3CDTF">2026-08-13T17:14:39Z</dcterms:modified>
</cp:coreProperties>
</file>